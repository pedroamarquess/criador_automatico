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8_{BC7E42CE-4A42-48EC-861C-B802BBFBCBE4}" xr6:coauthVersionLast="47" xr6:coauthVersionMax="47" xr10:uidLastSave="{00000000-0000-0000-0000-000000000000}"/>
  <bookViews>
    <workbookView xWindow="0" yWindow="0" windowWidth="16384" windowHeight="8192" tabRatio="500" xr2:uid="{00000000-000D-0000-FFFF-FFFF00000000}"/>
  </bookViews>
  <sheets>
    <sheet name="QSGR" sheetId="1" r:id="rId1"/>
    <sheet name="INFO" sheetId="2" r:id="rId2"/>
    <sheet name="NotaBar" sheetId="3" r:id="rId3"/>
    <sheet name="Listas" sheetId="4" r:id="rId4"/>
    <sheet name="Modelo Nota para BI" sheetId="5" r:id="rId5"/>
    <sheet name="Indície" sheetId="6" r:id="rId6"/>
    <sheet name="Planilha7" sheetId="7" r:id="rId7"/>
  </sheets>
  <definedNames>
    <definedName name="_xlnm._FilterDatabase" localSheetId="3" hidden="1">Listas!$D$2:$D$261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5" i="1" l="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C258" i="7"/>
  <c r="C257" i="7"/>
  <c r="C256" i="7"/>
  <c r="C255" i="7"/>
  <c r="C254" i="7"/>
  <c r="C253" i="7"/>
  <c r="C25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 r="C1" i="7"/>
  <c r="B1959" i="3"/>
  <c r="B1956" i="3"/>
  <c r="B1955" i="3"/>
  <c r="B1954" i="3"/>
  <c r="E1953" i="3"/>
  <c r="B1953" i="3"/>
  <c r="B1950" i="3"/>
  <c r="B1947" i="3"/>
  <c r="B1946" i="3"/>
  <c r="B1945" i="3"/>
  <c r="E1944" i="3"/>
  <c r="B1944" i="3"/>
  <c r="B1941" i="3"/>
  <c r="B1938" i="3"/>
  <c r="B1937" i="3"/>
  <c r="B1936" i="3"/>
  <c r="E1935" i="3"/>
  <c r="B1935" i="3"/>
  <c r="B1932" i="3"/>
  <c r="B1929" i="3"/>
  <c r="B1928" i="3"/>
  <c r="B1927" i="3"/>
  <c r="E1926" i="3"/>
  <c r="B1926" i="3"/>
  <c r="B1923" i="3"/>
  <c r="B1920" i="3"/>
  <c r="B1919" i="3"/>
  <c r="B1918" i="3"/>
  <c r="E1917" i="3"/>
  <c r="B1917" i="3"/>
  <c r="B1914" i="3"/>
  <c r="B1911" i="3"/>
  <c r="B1910" i="3"/>
  <c r="B1909" i="3"/>
  <c r="E1908" i="3"/>
  <c r="B1908" i="3"/>
  <c r="B1905" i="3"/>
  <c r="B1902" i="3"/>
  <c r="B1901" i="3"/>
  <c r="B1900" i="3"/>
  <c r="E1899" i="3"/>
  <c r="B1899" i="3"/>
  <c r="B1896" i="3"/>
  <c r="B1893" i="3"/>
  <c r="B1892" i="3"/>
  <c r="B1891" i="3"/>
  <c r="E1890" i="3"/>
  <c r="B1890" i="3"/>
  <c r="B1887" i="3"/>
  <c r="B1884" i="3"/>
  <c r="B1883" i="3"/>
  <c r="B1882" i="3"/>
  <c r="E1881" i="3"/>
  <c r="B1881" i="3"/>
  <c r="B1878" i="3"/>
  <c r="B1875" i="3"/>
  <c r="B1874" i="3"/>
  <c r="B1873" i="3"/>
  <c r="E1872" i="3"/>
  <c r="B1872" i="3"/>
  <c r="B1869" i="3"/>
  <c r="B1866" i="3"/>
  <c r="B1865" i="3"/>
  <c r="B1864" i="3"/>
  <c r="E1863" i="3"/>
  <c r="B1863" i="3"/>
  <c r="B1860" i="3"/>
  <c r="B1857" i="3"/>
  <c r="B1856" i="3"/>
  <c r="B1855" i="3"/>
  <c r="E1854" i="3"/>
  <c r="B1854" i="3"/>
  <c r="B1851" i="3"/>
  <c r="B1848" i="3"/>
  <c r="B1847" i="3"/>
  <c r="B1846" i="3"/>
  <c r="E1845" i="3"/>
  <c r="B1845" i="3"/>
  <c r="B1842" i="3"/>
  <c r="B1839" i="3"/>
  <c r="B1838" i="3"/>
  <c r="B1837" i="3"/>
  <c r="E1836" i="3"/>
  <c r="B1836" i="3"/>
  <c r="B1833" i="3"/>
  <c r="B1830" i="3"/>
  <c r="B1829" i="3"/>
  <c r="B1828" i="3"/>
  <c r="E1827" i="3"/>
  <c r="B1827" i="3"/>
  <c r="B1824" i="3"/>
  <c r="B1821" i="3"/>
  <c r="B1820" i="3"/>
  <c r="B1819" i="3"/>
  <c r="E1818" i="3"/>
  <c r="B1818" i="3"/>
  <c r="B1812" i="3"/>
  <c r="B1811" i="3"/>
  <c r="B1810" i="3"/>
  <c r="B1803" i="3"/>
  <c r="B1802" i="3"/>
  <c r="B1801" i="3"/>
  <c r="B1794" i="3"/>
  <c r="B1793" i="3"/>
  <c r="B1792" i="3"/>
  <c r="B1785" i="3"/>
  <c r="B1784" i="3"/>
  <c r="B1783" i="3"/>
  <c r="B1776" i="3"/>
  <c r="B1775" i="3"/>
  <c r="B1774" i="3"/>
  <c r="B1767" i="3"/>
  <c r="B1766" i="3"/>
  <c r="B1765" i="3"/>
  <c r="B1758" i="3"/>
  <c r="B1757" i="3"/>
  <c r="B1756" i="3"/>
  <c r="B1749" i="3"/>
  <c r="B1748" i="3"/>
  <c r="B1747" i="3"/>
  <c r="B1740" i="3"/>
  <c r="B1739" i="3"/>
  <c r="B1738" i="3"/>
  <c r="B1731" i="3"/>
  <c r="B1730" i="3"/>
  <c r="B1729" i="3"/>
  <c r="B1722" i="3"/>
  <c r="B1721" i="3"/>
  <c r="B1720" i="3"/>
  <c r="B1713" i="3"/>
  <c r="B1712" i="3"/>
  <c r="B1711" i="3"/>
  <c r="B1704" i="3"/>
  <c r="B1703" i="3"/>
  <c r="B1702" i="3"/>
  <c r="B1695" i="3"/>
  <c r="B1694" i="3"/>
  <c r="B1693" i="3"/>
  <c r="B1686" i="3"/>
  <c r="B1685" i="3"/>
  <c r="B1684" i="3"/>
  <c r="B1677" i="3"/>
  <c r="B1676" i="3"/>
  <c r="B1675" i="3"/>
  <c r="B1668" i="3"/>
  <c r="B1667" i="3"/>
  <c r="B1666" i="3"/>
  <c r="B1659" i="3"/>
  <c r="B1658" i="3"/>
  <c r="B1657" i="3"/>
  <c r="B1650" i="3"/>
  <c r="B1649" i="3"/>
  <c r="B1648" i="3"/>
  <c r="B1641" i="3"/>
  <c r="B1640" i="3"/>
  <c r="B1639" i="3"/>
  <c r="B1632" i="3"/>
  <c r="B1631" i="3"/>
  <c r="B1630" i="3"/>
  <c r="B1623" i="3"/>
  <c r="B1622" i="3"/>
  <c r="B1621" i="3"/>
  <c r="B1614" i="3"/>
  <c r="B1613" i="3"/>
  <c r="B1612" i="3"/>
  <c r="B1605" i="3"/>
  <c r="B1604" i="3"/>
  <c r="B1603" i="3"/>
  <c r="B1596" i="3"/>
  <c r="B1595" i="3"/>
  <c r="B1594" i="3"/>
  <c r="B1587" i="3"/>
  <c r="B1586" i="3"/>
  <c r="B1585" i="3"/>
  <c r="B1578" i="3"/>
  <c r="B1577" i="3"/>
  <c r="B1576" i="3"/>
  <c r="B1569" i="3"/>
  <c r="B1568" i="3"/>
  <c r="B1567" i="3"/>
  <c r="B1560" i="3"/>
  <c r="B1559" i="3"/>
  <c r="B1558" i="3"/>
  <c r="B1551" i="3"/>
  <c r="B1550" i="3"/>
  <c r="B1549" i="3"/>
  <c r="B1542" i="3"/>
  <c r="B1541" i="3"/>
  <c r="B1540" i="3"/>
  <c r="B1533" i="3"/>
  <c r="B1532" i="3"/>
  <c r="B1531" i="3"/>
  <c r="B1524" i="3"/>
  <c r="B1523" i="3"/>
  <c r="B1522" i="3"/>
  <c r="B1515" i="3"/>
  <c r="B1514" i="3"/>
  <c r="B1513" i="3"/>
  <c r="B1506" i="3"/>
  <c r="B1505" i="3"/>
  <c r="B1504" i="3"/>
  <c r="B1497" i="3"/>
  <c r="B1496" i="3"/>
  <c r="B1495" i="3"/>
  <c r="B1488" i="3"/>
  <c r="B1487" i="3"/>
  <c r="B1486" i="3"/>
  <c r="B1479" i="3"/>
  <c r="B1478" i="3"/>
  <c r="B1477" i="3"/>
  <c r="B1470" i="3"/>
  <c r="B1469" i="3"/>
  <c r="B1468" i="3"/>
  <c r="B1461" i="3"/>
  <c r="B1460" i="3"/>
  <c r="B1459" i="3"/>
  <c r="B1452" i="3"/>
  <c r="B1451" i="3"/>
  <c r="B1450" i="3"/>
  <c r="B1443" i="3"/>
  <c r="B1442" i="3"/>
  <c r="B1441" i="3"/>
  <c r="B1434" i="3"/>
  <c r="B1433" i="3"/>
  <c r="B1432" i="3"/>
  <c r="B1425" i="3"/>
  <c r="B1424" i="3"/>
  <c r="B1423" i="3"/>
  <c r="B1416" i="3"/>
  <c r="B1415" i="3"/>
  <c r="B1414" i="3"/>
  <c r="B1407" i="3"/>
  <c r="B1406" i="3"/>
  <c r="B1405" i="3"/>
  <c r="B1398" i="3"/>
  <c r="B1397" i="3"/>
  <c r="B1396" i="3"/>
  <c r="B1389" i="3"/>
  <c r="B1388" i="3"/>
  <c r="B1387" i="3"/>
  <c r="B1380" i="3"/>
  <c r="B1379" i="3"/>
  <c r="B1378" i="3"/>
  <c r="B1371" i="3"/>
  <c r="B1370" i="3"/>
  <c r="B1369" i="3"/>
  <c r="B1362" i="3"/>
  <c r="B1361" i="3"/>
  <c r="B1360" i="3"/>
  <c r="B1353" i="3"/>
  <c r="B1352" i="3"/>
  <c r="B1351" i="3"/>
  <c r="B1344" i="3"/>
  <c r="B1343" i="3"/>
  <c r="B1342" i="3"/>
  <c r="B1335" i="3"/>
  <c r="B1334" i="3"/>
  <c r="B1333" i="3"/>
  <c r="B1326" i="3"/>
  <c r="B1325" i="3"/>
  <c r="B1324" i="3"/>
  <c r="B1317" i="3"/>
  <c r="B1316" i="3"/>
  <c r="B1315" i="3"/>
  <c r="B1308" i="3"/>
  <c r="B1307" i="3"/>
  <c r="B1306" i="3"/>
  <c r="B1299" i="3"/>
  <c r="B1298" i="3"/>
  <c r="B1297" i="3"/>
  <c r="B1290" i="3"/>
  <c r="B1289" i="3"/>
  <c r="B1288" i="3"/>
  <c r="B1281" i="3"/>
  <c r="B1280" i="3"/>
  <c r="B1279" i="3"/>
  <c r="B1272" i="3"/>
  <c r="B1271" i="3"/>
  <c r="B1270" i="3"/>
  <c r="B1263" i="3"/>
  <c r="B1262" i="3"/>
  <c r="B1261" i="3"/>
  <c r="B1254" i="3"/>
  <c r="B1253" i="3"/>
  <c r="B1252" i="3"/>
  <c r="B1245" i="3"/>
  <c r="B1244" i="3"/>
  <c r="B1243" i="3"/>
  <c r="B1236" i="3"/>
  <c r="B1235" i="3"/>
  <c r="B1234" i="3"/>
  <c r="B1227" i="3"/>
  <c r="B1226" i="3"/>
  <c r="B1225" i="3"/>
  <c r="B1218" i="3"/>
  <c r="B1217" i="3"/>
  <c r="B1216" i="3"/>
  <c r="B1209" i="3"/>
  <c r="B1208" i="3"/>
  <c r="B1207" i="3"/>
  <c r="B1200" i="3"/>
  <c r="B1199" i="3"/>
  <c r="B1198" i="3"/>
  <c r="B1191" i="3"/>
  <c r="B1190" i="3"/>
  <c r="B1189" i="3"/>
  <c r="B1182" i="3"/>
  <c r="B1181" i="3"/>
  <c r="B1180" i="3"/>
  <c r="B1173" i="3"/>
  <c r="B1172" i="3"/>
  <c r="B1171" i="3"/>
  <c r="B1164" i="3"/>
  <c r="B1163" i="3"/>
  <c r="B1162" i="3"/>
  <c r="B1155" i="3"/>
  <c r="B1154" i="3"/>
  <c r="B1153" i="3"/>
  <c r="B1146" i="3"/>
  <c r="B1145" i="3"/>
  <c r="B1144" i="3"/>
  <c r="B1137" i="3"/>
  <c r="B1136" i="3"/>
  <c r="B1135" i="3"/>
  <c r="B1128" i="3"/>
  <c r="B1127" i="3"/>
  <c r="B1126" i="3"/>
  <c r="B1119" i="3"/>
  <c r="B1118" i="3"/>
  <c r="B1117" i="3"/>
  <c r="B1110" i="3"/>
  <c r="B1109" i="3"/>
  <c r="B1108" i="3"/>
  <c r="B1101" i="3"/>
  <c r="B1100" i="3"/>
  <c r="B1099" i="3"/>
  <c r="B1092" i="3"/>
  <c r="B1091" i="3"/>
  <c r="B1090" i="3"/>
  <c r="B1083" i="3"/>
  <c r="B1082" i="3"/>
  <c r="B1081" i="3"/>
  <c r="B1074" i="3"/>
  <c r="B1073" i="3"/>
  <c r="B1072" i="3"/>
  <c r="B1065" i="3"/>
  <c r="B1064" i="3"/>
  <c r="B1063" i="3"/>
  <c r="B1056" i="3"/>
  <c r="B1055" i="3"/>
  <c r="B1054" i="3"/>
  <c r="B1047" i="3"/>
  <c r="B1046" i="3"/>
  <c r="B1045" i="3"/>
  <c r="B1038" i="3"/>
  <c r="B1037" i="3"/>
  <c r="B1036" i="3"/>
  <c r="B1029" i="3"/>
  <c r="B1028" i="3"/>
  <c r="B1027" i="3"/>
  <c r="B1020" i="3"/>
  <c r="B1019" i="3"/>
  <c r="B1018" i="3"/>
  <c r="B1011" i="3"/>
  <c r="B1010" i="3"/>
  <c r="B1009" i="3"/>
  <c r="B1002" i="3"/>
  <c r="B1001" i="3"/>
  <c r="B1000" i="3"/>
  <c r="B993" i="3"/>
  <c r="B992" i="3"/>
  <c r="B991" i="3"/>
  <c r="B984" i="3"/>
  <c r="B983" i="3"/>
  <c r="B982" i="3"/>
  <c r="B975" i="3"/>
  <c r="B974" i="3"/>
  <c r="B973" i="3"/>
  <c r="B966" i="3"/>
  <c r="B965" i="3"/>
  <c r="B964" i="3"/>
  <c r="B957" i="3"/>
  <c r="B956" i="3"/>
  <c r="B955" i="3"/>
  <c r="B948" i="3"/>
  <c r="B947" i="3"/>
  <c r="B946" i="3"/>
  <c r="B939" i="3"/>
  <c r="B938" i="3"/>
  <c r="B937" i="3"/>
  <c r="B930" i="3"/>
  <c r="B929" i="3"/>
  <c r="B928" i="3"/>
  <c r="B921" i="3"/>
  <c r="B920" i="3"/>
  <c r="B919" i="3"/>
  <c r="B912" i="3"/>
  <c r="B911" i="3"/>
  <c r="B910" i="3"/>
  <c r="B903" i="3"/>
  <c r="B902" i="3"/>
  <c r="B901" i="3"/>
  <c r="B894" i="3"/>
  <c r="B893" i="3"/>
  <c r="B892" i="3"/>
  <c r="B885" i="3"/>
  <c r="B884" i="3"/>
  <c r="B883" i="3"/>
  <c r="B876" i="3"/>
  <c r="B875" i="3"/>
  <c r="B874" i="3"/>
  <c r="B867" i="3"/>
  <c r="B866" i="3"/>
  <c r="B865" i="3"/>
  <c r="B858" i="3"/>
  <c r="B857" i="3"/>
  <c r="B856" i="3"/>
  <c r="B849" i="3"/>
  <c r="B848" i="3"/>
  <c r="B847" i="3"/>
  <c r="B840" i="3"/>
  <c r="B839" i="3"/>
  <c r="B838" i="3"/>
  <c r="B831" i="3"/>
  <c r="B830" i="3"/>
  <c r="B829" i="3"/>
  <c r="B822" i="3"/>
  <c r="B821" i="3"/>
  <c r="B820" i="3"/>
  <c r="B813" i="3"/>
  <c r="B812" i="3"/>
  <c r="B811" i="3"/>
  <c r="B804" i="3"/>
  <c r="B803" i="3"/>
  <c r="B802" i="3"/>
  <c r="B795" i="3"/>
  <c r="B794" i="3"/>
  <c r="B793" i="3"/>
  <c r="B786" i="3"/>
  <c r="B785" i="3"/>
  <c r="B784" i="3"/>
  <c r="B777" i="3"/>
  <c r="B776" i="3"/>
  <c r="B775" i="3"/>
  <c r="B768" i="3"/>
  <c r="B767" i="3"/>
  <c r="B766" i="3"/>
  <c r="B759" i="3"/>
  <c r="B758" i="3"/>
  <c r="B757" i="3"/>
  <c r="B750" i="3"/>
  <c r="B749" i="3"/>
  <c r="B748" i="3"/>
  <c r="B741" i="3"/>
  <c r="B740" i="3"/>
  <c r="B739" i="3"/>
  <c r="B732" i="3"/>
  <c r="B731" i="3"/>
  <c r="B730" i="3"/>
  <c r="B723" i="3"/>
  <c r="B722" i="3"/>
  <c r="B721" i="3"/>
  <c r="B714" i="3"/>
  <c r="B713" i="3"/>
  <c r="B712" i="3"/>
  <c r="B705" i="3"/>
  <c r="B704" i="3"/>
  <c r="B703" i="3"/>
  <c r="B696" i="3"/>
  <c r="B695" i="3"/>
  <c r="B694" i="3"/>
  <c r="B687" i="3"/>
  <c r="B686" i="3"/>
  <c r="B685" i="3"/>
  <c r="B678" i="3"/>
  <c r="B677" i="3"/>
  <c r="B676" i="3"/>
  <c r="B669" i="3"/>
  <c r="B668" i="3"/>
  <c r="B667" i="3"/>
  <c r="B660" i="3"/>
  <c r="B659" i="3"/>
  <c r="B658" i="3"/>
  <c r="B651" i="3"/>
  <c r="B650" i="3"/>
  <c r="B649" i="3"/>
  <c r="B642" i="3"/>
  <c r="B641" i="3"/>
  <c r="B640" i="3"/>
  <c r="B633" i="3"/>
  <c r="B632" i="3"/>
  <c r="B631" i="3"/>
  <c r="B624" i="3"/>
  <c r="B623" i="3"/>
  <c r="B622" i="3"/>
  <c r="B615" i="3"/>
  <c r="B614" i="3"/>
  <c r="B613" i="3"/>
  <c r="B606" i="3"/>
  <c r="B605" i="3"/>
  <c r="B604" i="3"/>
  <c r="B597" i="3"/>
  <c r="B596" i="3"/>
  <c r="B595" i="3"/>
  <c r="B588" i="3"/>
  <c r="B587" i="3"/>
  <c r="B586" i="3"/>
  <c r="B579" i="3"/>
  <c r="B578" i="3"/>
  <c r="B577" i="3"/>
  <c r="B570" i="3"/>
  <c r="B569" i="3"/>
  <c r="B568" i="3"/>
  <c r="B561" i="3"/>
  <c r="B560" i="3"/>
  <c r="B559" i="3"/>
  <c r="B552" i="3"/>
  <c r="B551" i="3"/>
  <c r="B550" i="3"/>
  <c r="B543" i="3"/>
  <c r="B542" i="3"/>
  <c r="B541" i="3"/>
  <c r="B534" i="3"/>
  <c r="B533" i="3"/>
  <c r="B532" i="3"/>
  <c r="B525" i="3"/>
  <c r="B524" i="3"/>
  <c r="B523" i="3"/>
  <c r="B516" i="3"/>
  <c r="B515" i="3"/>
  <c r="B514" i="3"/>
  <c r="B507" i="3"/>
  <c r="B506" i="3"/>
  <c r="B505" i="3"/>
  <c r="B498" i="3"/>
  <c r="B497" i="3"/>
  <c r="B496" i="3"/>
  <c r="B489" i="3"/>
  <c r="B488" i="3"/>
  <c r="B487" i="3"/>
  <c r="B480" i="3"/>
  <c r="B479" i="3"/>
  <c r="B478" i="3"/>
  <c r="B471" i="3"/>
  <c r="B470" i="3"/>
  <c r="B469" i="3"/>
  <c r="B462" i="3"/>
  <c r="B461" i="3"/>
  <c r="B460" i="3"/>
  <c r="B453" i="3"/>
  <c r="B452" i="3"/>
  <c r="B451" i="3"/>
  <c r="B444" i="3"/>
  <c r="B443" i="3"/>
  <c r="B442" i="3"/>
  <c r="B435" i="3"/>
  <c r="B434" i="3"/>
  <c r="B433" i="3"/>
  <c r="B426" i="3"/>
  <c r="B425" i="3"/>
  <c r="B424" i="3"/>
  <c r="B417" i="3"/>
  <c r="B416" i="3"/>
  <c r="B415" i="3"/>
  <c r="B408" i="3"/>
  <c r="B407" i="3"/>
  <c r="B406" i="3"/>
  <c r="B399" i="3"/>
  <c r="B398" i="3"/>
  <c r="B397" i="3"/>
  <c r="B390" i="3"/>
  <c r="B389" i="3"/>
  <c r="B388" i="3"/>
  <c r="B381" i="3"/>
  <c r="B380" i="3"/>
  <c r="B379" i="3"/>
  <c r="B372" i="3"/>
  <c r="B371" i="3"/>
  <c r="B370" i="3"/>
  <c r="B363" i="3"/>
  <c r="B362" i="3"/>
  <c r="B361" i="3"/>
  <c r="B354" i="3"/>
  <c r="B353" i="3"/>
  <c r="B352" i="3"/>
  <c r="B345" i="3"/>
  <c r="B344" i="3"/>
  <c r="B343" i="3"/>
  <c r="B336" i="3"/>
  <c r="B335" i="3"/>
  <c r="B334" i="3"/>
  <c r="B327" i="3"/>
  <c r="B326" i="3"/>
  <c r="B325" i="3"/>
  <c r="B318" i="3"/>
  <c r="B317" i="3"/>
  <c r="B316" i="3"/>
  <c r="B309" i="3"/>
  <c r="B308" i="3"/>
  <c r="B307" i="3"/>
  <c r="B300" i="3"/>
  <c r="B299" i="3"/>
  <c r="B298" i="3"/>
  <c r="B291" i="3"/>
  <c r="B290" i="3"/>
  <c r="B289" i="3"/>
  <c r="B282" i="3"/>
  <c r="B281" i="3"/>
  <c r="B280" i="3"/>
  <c r="B273" i="3"/>
  <c r="B272" i="3"/>
  <c r="B271" i="3"/>
  <c r="B264" i="3"/>
  <c r="B263" i="3"/>
  <c r="B262" i="3"/>
  <c r="B255" i="3"/>
  <c r="B254" i="3"/>
  <c r="B253" i="3"/>
  <c r="B246" i="3"/>
  <c r="B245" i="3"/>
  <c r="B244" i="3"/>
  <c r="B237" i="3"/>
  <c r="B236" i="3"/>
  <c r="B235" i="3"/>
  <c r="B228" i="3"/>
  <c r="B227" i="3"/>
  <c r="B226" i="3"/>
  <c r="B219" i="3"/>
  <c r="B218" i="3"/>
  <c r="B217" i="3"/>
  <c r="B210" i="3"/>
  <c r="B209" i="3"/>
  <c r="B208" i="3"/>
  <c r="B201" i="3"/>
  <c r="B200" i="3"/>
  <c r="B199" i="3"/>
  <c r="B192" i="3"/>
  <c r="B191" i="3"/>
  <c r="B190" i="3"/>
  <c r="B183" i="3"/>
  <c r="B182" i="3"/>
  <c r="B181" i="3"/>
  <c r="B174" i="3"/>
  <c r="B173" i="3"/>
  <c r="B172" i="3"/>
  <c r="B165" i="3"/>
  <c r="B164" i="3"/>
  <c r="B163" i="3"/>
  <c r="B156" i="3"/>
  <c r="B155" i="3"/>
  <c r="B154" i="3"/>
  <c r="B147" i="3"/>
  <c r="B146" i="3"/>
  <c r="B145" i="3"/>
  <c r="B138" i="3"/>
  <c r="B137" i="3"/>
  <c r="B136" i="3"/>
  <c r="B129" i="3"/>
  <c r="B128" i="3"/>
  <c r="B127" i="3"/>
  <c r="B120" i="3"/>
  <c r="B119" i="3"/>
  <c r="B118" i="3"/>
  <c r="B111" i="3"/>
  <c r="B110" i="3"/>
  <c r="B109" i="3"/>
  <c r="B102" i="3"/>
  <c r="B101" i="3"/>
  <c r="B100" i="3"/>
  <c r="B93" i="3"/>
  <c r="B92" i="3"/>
  <c r="B91" i="3"/>
  <c r="B84" i="3"/>
  <c r="B83" i="3"/>
  <c r="B82" i="3"/>
  <c r="B75" i="3"/>
  <c r="B74" i="3"/>
  <c r="B73" i="3"/>
  <c r="B66" i="3"/>
  <c r="B65" i="3"/>
  <c r="B64" i="3"/>
  <c r="B57" i="3"/>
  <c r="B56" i="3"/>
  <c r="B55" i="3"/>
  <c r="AC53" i="3"/>
  <c r="B48" i="3"/>
  <c r="B47" i="3"/>
  <c r="B46" i="3"/>
  <c r="E45" i="3"/>
  <c r="B45" i="3"/>
  <c r="B39" i="3"/>
  <c r="B38" i="3"/>
  <c r="B37" i="3"/>
  <c r="E36" i="3"/>
  <c r="B36" i="3"/>
  <c r="B30" i="3"/>
  <c r="B29" i="3"/>
  <c r="B28" i="3"/>
  <c r="E27" i="3"/>
  <c r="B27" i="3"/>
  <c r="B21" i="3"/>
  <c r="B20" i="3"/>
  <c r="B19" i="3"/>
  <c r="E18" i="3"/>
  <c r="B18" i="3"/>
  <c r="B12" i="3"/>
  <c r="B11" i="3"/>
  <c r="B10" i="3"/>
  <c r="E9" i="3"/>
  <c r="B9" i="3"/>
  <c r="B1" i="3"/>
  <c r="C19" i="2"/>
  <c r="C16" i="2"/>
  <c r="C10" i="2"/>
  <c r="C8" i="2"/>
  <c r="A11" i="2" s="1"/>
  <c r="C11" i="2" s="1"/>
  <c r="A159"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H13" i="1"/>
  <c r="F13" i="1"/>
  <c r="E13" i="1"/>
  <c r="D13" i="1"/>
  <c r="C13" i="1"/>
  <c r="A13" i="1"/>
  <c r="H11" i="1"/>
  <c r="F11" i="1"/>
  <c r="E11" i="1"/>
  <c r="D11" i="1"/>
  <c r="C11" i="1"/>
  <c r="B9" i="1"/>
  <c r="I8" i="1"/>
  <c r="C4" i="1"/>
  <c r="B1957" i="3" l="1"/>
  <c r="B1948" i="3"/>
  <c r="B1939" i="3"/>
  <c r="B1930" i="3"/>
  <c r="B1921" i="3"/>
  <c r="B1912" i="3"/>
  <c r="B1903" i="3"/>
  <c r="B1894" i="3"/>
  <c r="B1885" i="3"/>
  <c r="B1876" i="3"/>
  <c r="B1867" i="3"/>
  <c r="B1858" i="3"/>
  <c r="B1849" i="3"/>
  <c r="B1840" i="3"/>
  <c r="B1831" i="3"/>
  <c r="B1822" i="3"/>
  <c r="B1813" i="3"/>
  <c r="B1804" i="3"/>
  <c r="B1795" i="3"/>
  <c r="B1786" i="3"/>
  <c r="B1777" i="3"/>
  <c r="B1768" i="3"/>
  <c r="B1759" i="3"/>
  <c r="B1750" i="3"/>
  <c r="B1741" i="3"/>
  <c r="B1732" i="3"/>
  <c r="B1723" i="3"/>
  <c r="B1714" i="3"/>
  <c r="B1705" i="3"/>
  <c r="B1696" i="3"/>
  <c r="B1687" i="3"/>
  <c r="B1678" i="3"/>
  <c r="B1669" i="3"/>
  <c r="B1660" i="3"/>
  <c r="B1651" i="3"/>
  <c r="B1642" i="3"/>
  <c r="B1633" i="3"/>
  <c r="B1624" i="3"/>
  <c r="B1615" i="3"/>
  <c r="B1606" i="3"/>
  <c r="B1597" i="3"/>
  <c r="B1588" i="3"/>
  <c r="B1579" i="3"/>
  <c r="B1570" i="3"/>
  <c r="B1561" i="3"/>
  <c r="B1552" i="3"/>
  <c r="B1543" i="3"/>
  <c r="B1534" i="3"/>
  <c r="B1525" i="3"/>
  <c r="B1516" i="3"/>
  <c r="B1507" i="3"/>
  <c r="B1498" i="3"/>
  <c r="B1489" i="3"/>
  <c r="B1480" i="3"/>
  <c r="B1471" i="3"/>
  <c r="B1462" i="3"/>
  <c r="B1453" i="3"/>
  <c r="B1444" i="3"/>
  <c r="B1435" i="3"/>
  <c r="B1426" i="3"/>
  <c r="B1417" i="3"/>
  <c r="B1408" i="3"/>
  <c r="B1399" i="3"/>
  <c r="B1390" i="3"/>
  <c r="B1381" i="3"/>
  <c r="B1372" i="3"/>
  <c r="B1363" i="3"/>
  <c r="B1354" i="3"/>
  <c r="B1345" i="3"/>
  <c r="B1336" i="3"/>
  <c r="B1327" i="3"/>
  <c r="B1318" i="3"/>
  <c r="B1309" i="3"/>
  <c r="B1300" i="3"/>
  <c r="B1291" i="3"/>
  <c r="B1282" i="3"/>
  <c r="B1273" i="3"/>
  <c r="B1264" i="3"/>
  <c r="B1255" i="3"/>
  <c r="B1246" i="3"/>
  <c r="B1237" i="3"/>
  <c r="B1228" i="3"/>
  <c r="B1219" i="3"/>
  <c r="B1210" i="3"/>
  <c r="B1201" i="3"/>
  <c r="B1192" i="3"/>
  <c r="B1183" i="3"/>
  <c r="B1174" i="3"/>
  <c r="B1165" i="3"/>
  <c r="B1156" i="3"/>
  <c r="B1147" i="3"/>
  <c r="B1138" i="3"/>
  <c r="B1129" i="3"/>
  <c r="B1120" i="3"/>
  <c r="B1111" i="3"/>
  <c r="B1102" i="3"/>
  <c r="B1093" i="3"/>
  <c r="B1084" i="3"/>
  <c r="B1075" i="3"/>
  <c r="B1066" i="3"/>
  <c r="B1057" i="3"/>
  <c r="B1048" i="3"/>
  <c r="B1039" i="3"/>
  <c r="B1030" i="3"/>
  <c r="B1021" i="3"/>
  <c r="B1012" i="3"/>
  <c r="B1003" i="3"/>
  <c r="B994" i="3"/>
  <c r="B985" i="3"/>
  <c r="B976" i="3"/>
  <c r="B967" i="3"/>
  <c r="B958" i="3"/>
  <c r="B949" i="3"/>
  <c r="B940" i="3"/>
  <c r="B931" i="3"/>
  <c r="B922" i="3"/>
  <c r="B913" i="3"/>
  <c r="B904" i="3"/>
  <c r="B895" i="3"/>
  <c r="B886" i="3"/>
  <c r="B877" i="3"/>
  <c r="B868" i="3"/>
  <c r="B859" i="3"/>
  <c r="B850" i="3"/>
  <c r="B841" i="3"/>
  <c r="B832" i="3"/>
  <c r="B823" i="3"/>
  <c r="B814" i="3"/>
  <c r="B805" i="3"/>
  <c r="B796" i="3"/>
  <c r="B787" i="3"/>
  <c r="B778" i="3"/>
  <c r="B769" i="3"/>
  <c r="B760" i="3"/>
  <c r="B751" i="3"/>
  <c r="B742" i="3"/>
  <c r="B733" i="3"/>
  <c r="B724" i="3"/>
  <c r="B715" i="3"/>
  <c r="B706" i="3"/>
  <c r="B697" i="3"/>
  <c r="B688" i="3"/>
  <c r="B679" i="3"/>
  <c r="B670" i="3"/>
  <c r="B661" i="3"/>
  <c r="B652" i="3"/>
  <c r="B643" i="3"/>
  <c r="B634" i="3"/>
  <c r="B625" i="3"/>
  <c r="B616" i="3"/>
  <c r="B607" i="3"/>
  <c r="B598" i="3"/>
  <c r="B589" i="3"/>
  <c r="B580" i="3"/>
  <c r="B571" i="3"/>
  <c r="B562" i="3"/>
  <c r="B553" i="3"/>
  <c r="B544" i="3"/>
  <c r="B535" i="3"/>
  <c r="B526" i="3"/>
  <c r="B517" i="3"/>
  <c r="B508" i="3"/>
  <c r="B499" i="3"/>
  <c r="B490" i="3"/>
  <c r="B481" i="3"/>
  <c r="B472" i="3"/>
  <c r="B463" i="3"/>
  <c r="B454" i="3"/>
  <c r="B445" i="3"/>
  <c r="B436" i="3"/>
  <c r="B427" i="3"/>
  <c r="B418" i="3"/>
  <c r="B409" i="3"/>
  <c r="B400" i="3"/>
  <c r="B391" i="3"/>
  <c r="B382" i="3"/>
  <c r="B373" i="3"/>
  <c r="B364" i="3"/>
  <c r="B355" i="3"/>
  <c r="B346" i="3"/>
  <c r="B337" i="3"/>
  <c r="B328" i="3"/>
  <c r="B319" i="3"/>
  <c r="B310" i="3"/>
  <c r="B301" i="3"/>
  <c r="B292" i="3"/>
  <c r="B283" i="3"/>
  <c r="B274" i="3"/>
  <c r="B265" i="3"/>
  <c r="B256" i="3"/>
  <c r="B247" i="3"/>
  <c r="B238" i="3"/>
  <c r="B229" i="3"/>
  <c r="B220" i="3"/>
  <c r="B211" i="3"/>
  <c r="B202" i="3"/>
  <c r="B193" i="3"/>
  <c r="B184" i="3"/>
  <c r="B175" i="3"/>
  <c r="B166" i="3"/>
  <c r="B157" i="3"/>
  <c r="B148" i="3"/>
  <c r="B139" i="3"/>
  <c r="B130" i="3"/>
  <c r="B121" i="3"/>
  <c r="B112" i="3"/>
  <c r="B103" i="3"/>
  <c r="B94" i="3"/>
  <c r="B85" i="3"/>
  <c r="B76" i="3"/>
  <c r="B67" i="3"/>
  <c r="B58" i="3"/>
  <c r="B49" i="3"/>
  <c r="B40" i="3"/>
  <c r="B31" i="3"/>
  <c r="B22" i="3"/>
  <c r="B13" i="3"/>
  <c r="C20" i="2"/>
  <c r="AC62" i="3"/>
  <c r="E54" i="3"/>
  <c r="B54" i="3"/>
  <c r="AC71" i="3" l="1"/>
  <c r="E63" i="3"/>
  <c r="B63" i="3"/>
  <c r="B1958" i="3"/>
  <c r="B1949" i="3"/>
  <c r="B1940" i="3"/>
  <c r="B1931" i="3"/>
  <c r="B1922" i="3"/>
  <c r="B1913" i="3"/>
  <c r="B1904" i="3"/>
  <c r="B1895" i="3"/>
  <c r="B1886" i="3"/>
  <c r="B1877" i="3"/>
  <c r="B1868" i="3"/>
  <c r="B1859" i="3"/>
  <c r="B1850" i="3"/>
  <c r="B1841" i="3"/>
  <c r="B1832" i="3"/>
  <c r="B1823" i="3"/>
  <c r="B1814" i="3"/>
  <c r="B1805" i="3"/>
  <c r="B1796" i="3"/>
  <c r="B1787" i="3"/>
  <c r="B1778" i="3"/>
  <c r="B1769" i="3"/>
  <c r="B1760" i="3"/>
  <c r="B1751" i="3"/>
  <c r="B1742" i="3"/>
  <c r="B1733" i="3"/>
  <c r="B1724" i="3"/>
  <c r="B1715" i="3"/>
  <c r="B1706" i="3"/>
  <c r="B1697" i="3"/>
  <c r="B1688" i="3"/>
  <c r="B1679" i="3"/>
  <c r="B1670" i="3"/>
  <c r="B1661" i="3"/>
  <c r="B1652" i="3"/>
  <c r="B1643" i="3"/>
  <c r="B1634" i="3"/>
  <c r="B1625" i="3"/>
  <c r="B1616" i="3"/>
  <c r="B1607" i="3"/>
  <c r="B1598" i="3"/>
  <c r="B1589" i="3"/>
  <c r="B1580" i="3"/>
  <c r="B1571" i="3"/>
  <c r="B1562" i="3"/>
  <c r="B1553" i="3"/>
  <c r="B1544" i="3"/>
  <c r="B1535" i="3"/>
  <c r="B1526" i="3"/>
  <c r="B1517" i="3"/>
  <c r="B1508" i="3"/>
  <c r="B1499" i="3"/>
  <c r="B1490" i="3"/>
  <c r="B1481" i="3"/>
  <c r="B1472" i="3"/>
  <c r="B1463" i="3"/>
  <c r="B1454" i="3"/>
  <c r="B1445" i="3"/>
  <c r="B1436" i="3"/>
  <c r="B1427" i="3"/>
  <c r="B1418" i="3"/>
  <c r="B1409" i="3"/>
  <c r="B1400" i="3"/>
  <c r="B1391" i="3"/>
  <c r="B1382" i="3"/>
  <c r="B1373" i="3"/>
  <c r="B1364" i="3"/>
  <c r="B1355" i="3"/>
  <c r="B1346" i="3"/>
  <c r="B1337" i="3"/>
  <c r="B1328" i="3"/>
  <c r="B1319" i="3"/>
  <c r="B1310" i="3"/>
  <c r="B1301" i="3"/>
  <c r="B1292" i="3"/>
  <c r="B1283" i="3"/>
  <c r="B1274" i="3"/>
  <c r="B1265" i="3"/>
  <c r="B1256" i="3"/>
  <c r="B1247" i="3"/>
  <c r="B1238" i="3"/>
  <c r="B1229" i="3"/>
  <c r="B1220" i="3"/>
  <c r="B1211" i="3"/>
  <c r="B1202" i="3"/>
  <c r="B1193" i="3"/>
  <c r="B1184" i="3"/>
  <c r="B1175" i="3"/>
  <c r="B1166" i="3"/>
  <c r="B1157" i="3"/>
  <c r="B1148" i="3"/>
  <c r="B1139" i="3"/>
  <c r="B1130" i="3"/>
  <c r="B1121" i="3"/>
  <c r="B1112" i="3"/>
  <c r="B1103" i="3"/>
  <c r="B1094" i="3"/>
  <c r="B1085" i="3"/>
  <c r="B1076" i="3"/>
  <c r="B1067" i="3"/>
  <c r="B1058" i="3"/>
  <c r="B1049" i="3"/>
  <c r="B1040" i="3"/>
  <c r="B1031" i="3"/>
  <c r="B1022" i="3"/>
  <c r="B1013" i="3"/>
  <c r="B1004" i="3"/>
  <c r="B995" i="3"/>
  <c r="B986" i="3"/>
  <c r="B977" i="3"/>
  <c r="B968" i="3"/>
  <c r="B959" i="3"/>
  <c r="B950" i="3"/>
  <c r="B941" i="3"/>
  <c r="B932" i="3"/>
  <c r="B923" i="3"/>
  <c r="B914" i="3"/>
  <c r="B905" i="3"/>
  <c r="B896" i="3"/>
  <c r="B887" i="3"/>
  <c r="B878" i="3"/>
  <c r="B869" i="3"/>
  <c r="B860" i="3"/>
  <c r="B851" i="3"/>
  <c r="B842" i="3"/>
  <c r="B833" i="3"/>
  <c r="B824" i="3"/>
  <c r="B815" i="3"/>
  <c r="B806" i="3"/>
  <c r="B797" i="3"/>
  <c r="B788" i="3"/>
  <c r="B779" i="3"/>
  <c r="B770" i="3"/>
  <c r="B761" i="3"/>
  <c r="B752" i="3"/>
  <c r="B743" i="3"/>
  <c r="B734" i="3"/>
  <c r="B725" i="3"/>
  <c r="B716" i="3"/>
  <c r="B707" i="3"/>
  <c r="B698" i="3"/>
  <c r="B689" i="3"/>
  <c r="B680" i="3"/>
  <c r="B671" i="3"/>
  <c r="B662" i="3"/>
  <c r="B653" i="3"/>
  <c r="B644" i="3"/>
  <c r="B635" i="3"/>
  <c r="B626" i="3"/>
  <c r="B617" i="3"/>
  <c r="B608" i="3"/>
  <c r="B599" i="3"/>
  <c r="B590" i="3"/>
  <c r="B581" i="3"/>
  <c r="B572" i="3"/>
  <c r="B563" i="3"/>
  <c r="B554" i="3"/>
  <c r="B545" i="3"/>
  <c r="B536" i="3"/>
  <c r="B527" i="3"/>
  <c r="B518" i="3"/>
  <c r="B509" i="3"/>
  <c r="B500" i="3"/>
  <c r="B491" i="3"/>
  <c r="B482" i="3"/>
  <c r="B473" i="3"/>
  <c r="B464" i="3"/>
  <c r="B455" i="3"/>
  <c r="B446" i="3"/>
  <c r="B437" i="3"/>
  <c r="B428" i="3"/>
  <c r="B419" i="3"/>
  <c r="B410" i="3"/>
  <c r="B401" i="3"/>
  <c r="B392" i="3"/>
  <c r="B383" i="3"/>
  <c r="B374" i="3"/>
  <c r="B365" i="3"/>
  <c r="B356" i="3"/>
  <c r="B347" i="3"/>
  <c r="B338" i="3"/>
  <c r="B329" i="3"/>
  <c r="B320" i="3"/>
  <c r="B311" i="3"/>
  <c r="B302" i="3"/>
  <c r="B293" i="3"/>
  <c r="B284" i="3"/>
  <c r="B275" i="3"/>
  <c r="B266" i="3"/>
  <c r="B257" i="3"/>
  <c r="B248" i="3"/>
  <c r="B239" i="3"/>
  <c r="B230" i="3"/>
  <c r="B221" i="3"/>
  <c r="B212" i="3"/>
  <c r="B203" i="3"/>
  <c r="B194" i="3"/>
  <c r="B185" i="3"/>
  <c r="B176" i="3"/>
  <c r="B167" i="3"/>
  <c r="B158" i="3"/>
  <c r="B149" i="3"/>
  <c r="B140" i="3"/>
  <c r="B131" i="3"/>
  <c r="B122" i="3"/>
  <c r="B113" i="3"/>
  <c r="B104" i="3"/>
  <c r="B95" i="3"/>
  <c r="B86" i="3"/>
  <c r="B77" i="3"/>
  <c r="B68" i="3"/>
  <c r="B59" i="3"/>
  <c r="B50" i="3"/>
  <c r="B41" i="3"/>
  <c r="B32" i="3"/>
  <c r="B23" i="3"/>
  <c r="B14" i="3"/>
  <c r="G11" i="1"/>
  <c r="H74" i="1" l="1"/>
  <c r="J74" i="1" s="1"/>
  <c r="H75" i="1"/>
  <c r="J75" i="1" s="1"/>
  <c r="H76" i="1"/>
  <c r="J76" i="1" s="1"/>
  <c r="H77" i="1"/>
  <c r="J77" i="1" s="1"/>
  <c r="H78" i="1"/>
  <c r="J78" i="1" s="1"/>
  <c r="H79" i="1"/>
  <c r="J79" i="1" s="1"/>
  <c r="H80" i="1"/>
  <c r="J80" i="1" s="1"/>
  <c r="H81" i="1"/>
  <c r="J81" i="1" s="1"/>
  <c r="H82" i="1"/>
  <c r="J82" i="1" s="1"/>
  <c r="H83" i="1"/>
  <c r="J83" i="1" s="1"/>
  <c r="H84" i="1"/>
  <c r="J84" i="1" s="1"/>
  <c r="H85" i="1"/>
  <c r="J85" i="1" s="1"/>
  <c r="H86" i="1"/>
  <c r="J86" i="1" s="1"/>
  <c r="H87" i="1"/>
  <c r="J87" i="1" s="1"/>
  <c r="H88" i="1"/>
  <c r="J88" i="1" s="1"/>
  <c r="H89" i="1"/>
  <c r="J89" i="1" s="1"/>
  <c r="H90" i="1"/>
  <c r="J90" i="1" s="1"/>
  <c r="H91" i="1"/>
  <c r="J91" i="1" s="1"/>
  <c r="H92" i="1"/>
  <c r="J92" i="1" s="1"/>
  <c r="H93" i="1"/>
  <c r="J93" i="1" s="1"/>
  <c r="H94" i="1"/>
  <c r="J94" i="1" s="1"/>
  <c r="H95" i="1"/>
  <c r="J95" i="1" s="1"/>
  <c r="H96" i="1"/>
  <c r="J96" i="1" s="1"/>
  <c r="H97" i="1"/>
  <c r="J97" i="1" s="1"/>
  <c r="H98" i="1"/>
  <c r="J98" i="1" s="1"/>
  <c r="H99" i="1"/>
  <c r="J99" i="1" s="1"/>
  <c r="H100" i="1"/>
  <c r="J100" i="1" s="1"/>
  <c r="H101" i="1"/>
  <c r="J101" i="1" s="1"/>
  <c r="H102" i="1"/>
  <c r="J102" i="1" s="1"/>
  <c r="H103" i="1"/>
  <c r="J103" i="1" s="1"/>
  <c r="H104" i="1"/>
  <c r="J104" i="1" s="1"/>
  <c r="H105" i="1"/>
  <c r="J105" i="1" s="1"/>
  <c r="H106" i="1"/>
  <c r="J106" i="1" s="1"/>
  <c r="H107" i="1"/>
  <c r="J107" i="1" s="1"/>
  <c r="H108" i="1"/>
  <c r="J108" i="1" s="1"/>
  <c r="H109" i="1"/>
  <c r="J109" i="1" s="1"/>
  <c r="H110" i="1"/>
  <c r="J110" i="1" s="1"/>
  <c r="H111" i="1"/>
  <c r="J111" i="1" s="1"/>
  <c r="H112" i="1"/>
  <c r="J112" i="1" s="1"/>
  <c r="H113" i="1"/>
  <c r="J113" i="1" s="1"/>
  <c r="H114" i="1"/>
  <c r="J114" i="1" s="1"/>
  <c r="H115" i="1"/>
  <c r="J115" i="1" s="1"/>
  <c r="H116" i="1"/>
  <c r="J116" i="1" s="1"/>
  <c r="H117" i="1"/>
  <c r="J117" i="1" s="1"/>
  <c r="H118" i="1"/>
  <c r="J118" i="1" s="1"/>
  <c r="H119" i="1"/>
  <c r="J119" i="1" s="1"/>
  <c r="H120" i="1"/>
  <c r="J120" i="1" s="1"/>
  <c r="H121" i="1"/>
  <c r="J121" i="1" s="1"/>
  <c r="H122" i="1"/>
  <c r="J122" i="1" s="1"/>
  <c r="H123" i="1"/>
  <c r="J123" i="1" s="1"/>
  <c r="H124" i="1"/>
  <c r="J124" i="1" s="1"/>
  <c r="H125" i="1"/>
  <c r="J125" i="1" s="1"/>
  <c r="H126" i="1"/>
  <c r="J126" i="1" s="1"/>
  <c r="H127" i="1"/>
  <c r="J127" i="1" s="1"/>
  <c r="H128" i="1"/>
  <c r="J128" i="1" s="1"/>
  <c r="H129" i="1"/>
  <c r="J129" i="1" s="1"/>
  <c r="H130" i="1"/>
  <c r="J130" i="1" s="1"/>
  <c r="H131" i="1"/>
  <c r="J131" i="1" s="1"/>
  <c r="H132" i="1"/>
  <c r="J132" i="1" s="1"/>
  <c r="H133" i="1"/>
  <c r="J133" i="1" s="1"/>
  <c r="H134" i="1"/>
  <c r="J134" i="1" s="1"/>
  <c r="H135" i="1"/>
  <c r="J135" i="1" s="1"/>
  <c r="H136" i="1"/>
  <c r="J136" i="1" s="1"/>
  <c r="H137" i="1"/>
  <c r="J137" i="1" s="1"/>
  <c r="H138" i="1"/>
  <c r="J138" i="1" s="1"/>
  <c r="H139" i="1"/>
  <c r="J139" i="1" s="1"/>
  <c r="H140" i="1"/>
  <c r="J140" i="1" s="1"/>
  <c r="H141" i="1"/>
  <c r="J141" i="1" s="1"/>
  <c r="H142" i="1"/>
  <c r="J142" i="1" s="1"/>
  <c r="H143" i="1"/>
  <c r="J143" i="1" s="1"/>
  <c r="H144" i="1"/>
  <c r="J144" i="1" s="1"/>
  <c r="H145" i="1"/>
  <c r="J145" i="1" s="1"/>
  <c r="H146" i="1"/>
  <c r="J146" i="1" s="1"/>
  <c r="H147" i="1"/>
  <c r="J147" i="1" s="1"/>
  <c r="H148" i="1"/>
  <c r="J148" i="1" s="1"/>
  <c r="H149" i="1"/>
  <c r="J149" i="1" s="1"/>
  <c r="H150" i="1"/>
  <c r="J150" i="1" s="1"/>
  <c r="H151" i="1"/>
  <c r="J151" i="1" s="1"/>
  <c r="H152" i="1"/>
  <c r="J152" i="1" s="1"/>
  <c r="H153" i="1"/>
  <c r="J153" i="1" s="1"/>
  <c r="H73" i="1"/>
  <c r="J73" i="1" s="1"/>
  <c r="H72" i="1"/>
  <c r="J72" i="1" s="1"/>
  <c r="H71" i="1"/>
  <c r="J71" i="1" s="1"/>
  <c r="H70" i="1"/>
  <c r="J70" i="1" s="1"/>
  <c r="H69" i="1"/>
  <c r="J69" i="1" s="1"/>
  <c r="H68" i="1"/>
  <c r="J68" i="1" s="1"/>
  <c r="H67" i="1"/>
  <c r="J67" i="1" s="1"/>
  <c r="H66" i="1"/>
  <c r="J66" i="1" s="1"/>
  <c r="H65" i="1"/>
  <c r="J65" i="1" s="1"/>
  <c r="H64" i="1"/>
  <c r="J64" i="1" s="1"/>
  <c r="H63" i="1"/>
  <c r="J63" i="1" s="1"/>
  <c r="H62" i="1"/>
  <c r="J62" i="1" s="1"/>
  <c r="H61" i="1"/>
  <c r="J61" i="1" s="1"/>
  <c r="H60" i="1"/>
  <c r="J60" i="1" s="1"/>
  <c r="H59" i="1"/>
  <c r="J59" i="1" s="1"/>
  <c r="H58" i="1"/>
  <c r="J58" i="1" s="1"/>
  <c r="H57" i="1"/>
  <c r="J57" i="1" s="1"/>
  <c r="H56" i="1"/>
  <c r="J56" i="1" s="1"/>
  <c r="H55" i="1"/>
  <c r="J55" i="1" s="1"/>
  <c r="H54" i="1"/>
  <c r="J54" i="1" s="1"/>
  <c r="H53" i="1"/>
  <c r="J53" i="1" s="1"/>
  <c r="H52" i="1"/>
  <c r="J52" i="1" s="1"/>
  <c r="H51" i="1"/>
  <c r="J51" i="1" s="1"/>
  <c r="H50" i="1"/>
  <c r="J50" i="1" s="1"/>
  <c r="H49" i="1"/>
  <c r="J49" i="1" s="1"/>
  <c r="H48" i="1"/>
  <c r="J48" i="1" s="1"/>
  <c r="H47" i="1"/>
  <c r="J47" i="1" s="1"/>
  <c r="H46" i="1"/>
  <c r="J46" i="1" s="1"/>
  <c r="H45" i="1"/>
  <c r="J45" i="1" s="1"/>
  <c r="H44" i="1"/>
  <c r="J44" i="1" s="1"/>
  <c r="H43" i="1"/>
  <c r="J43" i="1" s="1"/>
  <c r="H42" i="1"/>
  <c r="J42" i="1" s="1"/>
  <c r="H41" i="1"/>
  <c r="J41" i="1" s="1"/>
  <c r="H40" i="1"/>
  <c r="J40" i="1" s="1"/>
  <c r="H39" i="1"/>
  <c r="J39" i="1" s="1"/>
  <c r="H38" i="1"/>
  <c r="J38" i="1" s="1"/>
  <c r="H37" i="1"/>
  <c r="J37" i="1" s="1"/>
  <c r="H36" i="1"/>
  <c r="J36" i="1" s="1"/>
  <c r="H35" i="1"/>
  <c r="J35" i="1" s="1"/>
  <c r="H34" i="1"/>
  <c r="J34" i="1" s="1"/>
  <c r="H33" i="1"/>
  <c r="J33" i="1" s="1"/>
  <c r="H32" i="1"/>
  <c r="J32" i="1" s="1"/>
  <c r="H31" i="1"/>
  <c r="J31" i="1" s="1"/>
  <c r="H30" i="1"/>
  <c r="J30" i="1" s="1"/>
  <c r="H29" i="1"/>
  <c r="J29" i="1" s="1"/>
  <c r="H28" i="1"/>
  <c r="J28" i="1" s="1"/>
  <c r="H27" i="1"/>
  <c r="J27" i="1" s="1"/>
  <c r="H26" i="1"/>
  <c r="J26" i="1" s="1"/>
  <c r="H25" i="1"/>
  <c r="J25" i="1" s="1"/>
  <c r="H24" i="1"/>
  <c r="J24" i="1" s="1"/>
  <c r="H23" i="1"/>
  <c r="J23" i="1" s="1"/>
  <c r="H22" i="1"/>
  <c r="J22" i="1" s="1"/>
  <c r="B69" i="3" s="1"/>
  <c r="H21" i="1"/>
  <c r="J21" i="1" s="1"/>
  <c r="B60" i="3" s="1"/>
  <c r="H20" i="1"/>
  <c r="J20" i="1" s="1"/>
  <c r="B51" i="3" s="1"/>
  <c r="H19" i="1"/>
  <c r="J19" i="1" s="1"/>
  <c r="B42" i="3" s="1"/>
  <c r="H18" i="1"/>
  <c r="J18" i="1" s="1"/>
  <c r="B33" i="3" s="1"/>
  <c r="H17" i="1"/>
  <c r="J17" i="1" s="1"/>
  <c r="B24" i="3" s="1"/>
  <c r="H16" i="1"/>
  <c r="J16" i="1" s="1"/>
  <c r="AC80" i="3"/>
  <c r="B78" i="3"/>
  <c r="E72" i="3"/>
  <c r="B72" i="3"/>
  <c r="AC89" i="3" l="1"/>
  <c r="B87" i="3"/>
  <c r="E81" i="3"/>
  <c r="B81" i="3"/>
  <c r="B15" i="3"/>
  <c r="J154" i="1"/>
  <c r="AC98" i="3" l="1"/>
  <c r="B96" i="3"/>
  <c r="E90" i="3"/>
  <c r="B90" i="3"/>
  <c r="AC107" i="3" l="1"/>
  <c r="B105" i="3"/>
  <c r="E99" i="3"/>
  <c r="B99" i="3"/>
  <c r="AC116" i="3" l="1"/>
  <c r="B114" i="3"/>
  <c r="E108" i="3"/>
  <c r="B108" i="3"/>
  <c r="AC125" i="3" l="1"/>
  <c r="B123" i="3"/>
  <c r="E117" i="3"/>
  <c r="B117" i="3"/>
  <c r="AC134" i="3" l="1"/>
  <c r="B132" i="3"/>
  <c r="E126" i="3"/>
  <c r="B126" i="3"/>
  <c r="AC143" i="3" l="1"/>
  <c r="B141" i="3"/>
  <c r="E135" i="3"/>
  <c r="B135" i="3"/>
  <c r="AC152" i="3" l="1"/>
  <c r="B150" i="3"/>
  <c r="E144" i="3"/>
  <c r="B144" i="3"/>
  <c r="AC161" i="3" l="1"/>
  <c r="B159" i="3"/>
  <c r="E153" i="3"/>
  <c r="B153" i="3"/>
  <c r="AC170" i="3" l="1"/>
  <c r="B168" i="3"/>
  <c r="E162" i="3"/>
  <c r="B162" i="3"/>
  <c r="AC179" i="3" l="1"/>
  <c r="B177" i="3"/>
  <c r="E171" i="3"/>
  <c r="B171" i="3"/>
  <c r="AC188" i="3" l="1"/>
  <c r="B186" i="3"/>
  <c r="E180" i="3"/>
  <c r="B180" i="3"/>
  <c r="AC197" i="3" l="1"/>
  <c r="B195" i="3"/>
  <c r="E189" i="3"/>
  <c r="B189" i="3"/>
  <c r="AC206" i="3" l="1"/>
  <c r="B204" i="3"/>
  <c r="E198" i="3"/>
  <c r="B198" i="3"/>
  <c r="AC215" i="3" l="1"/>
  <c r="B213" i="3"/>
  <c r="E207" i="3"/>
  <c r="B207" i="3"/>
  <c r="AC224" i="3" l="1"/>
  <c r="B222" i="3"/>
  <c r="E216" i="3"/>
  <c r="B216" i="3"/>
  <c r="AC233" i="3" l="1"/>
  <c r="B231" i="3"/>
  <c r="E225" i="3"/>
  <c r="B225" i="3"/>
  <c r="AC242" i="3" l="1"/>
  <c r="B240" i="3"/>
  <c r="E234" i="3"/>
  <c r="B234" i="3"/>
  <c r="AC251" i="3" l="1"/>
  <c r="B249" i="3"/>
  <c r="E243" i="3"/>
  <c r="B243" i="3"/>
  <c r="AC260" i="3" l="1"/>
  <c r="B258" i="3"/>
  <c r="E252" i="3"/>
  <c r="B252" i="3"/>
  <c r="AC269" i="3" l="1"/>
  <c r="B267" i="3"/>
  <c r="E261" i="3"/>
  <c r="B261" i="3"/>
  <c r="AC278" i="3" l="1"/>
  <c r="B276" i="3"/>
  <c r="E270" i="3"/>
  <c r="B270" i="3"/>
  <c r="AC287" i="3" l="1"/>
  <c r="B285" i="3"/>
  <c r="E279" i="3"/>
  <c r="B279" i="3"/>
  <c r="AC296" i="3" l="1"/>
  <c r="B294" i="3"/>
  <c r="E288" i="3"/>
  <c r="B288" i="3"/>
  <c r="AC305" i="3" l="1"/>
  <c r="B303" i="3"/>
  <c r="E297" i="3"/>
  <c r="B297" i="3"/>
  <c r="AC314" i="3" l="1"/>
  <c r="B312" i="3"/>
  <c r="E306" i="3"/>
  <c r="B306" i="3"/>
  <c r="AC323" i="3" l="1"/>
  <c r="B321" i="3"/>
  <c r="E315" i="3"/>
  <c r="B315" i="3"/>
  <c r="AC332" i="3" l="1"/>
  <c r="B330" i="3"/>
  <c r="E324" i="3"/>
  <c r="B324" i="3"/>
  <c r="AC341" i="3" l="1"/>
  <c r="B339" i="3"/>
  <c r="E333" i="3"/>
  <c r="B333" i="3"/>
  <c r="AC350" i="3" l="1"/>
  <c r="B348" i="3"/>
  <c r="E342" i="3"/>
  <c r="B342" i="3"/>
  <c r="AC359" i="3" l="1"/>
  <c r="B357" i="3"/>
  <c r="E351" i="3"/>
  <c r="B351" i="3"/>
  <c r="AC368" i="3" l="1"/>
  <c r="B366" i="3"/>
  <c r="E360" i="3"/>
  <c r="B360" i="3"/>
  <c r="AC377" i="3" l="1"/>
  <c r="B375" i="3"/>
  <c r="E369" i="3"/>
  <c r="B369" i="3"/>
  <c r="AC386" i="3" l="1"/>
  <c r="B384" i="3"/>
  <c r="E378" i="3"/>
  <c r="B378" i="3"/>
  <c r="AC395" i="3" l="1"/>
  <c r="B393" i="3"/>
  <c r="E387" i="3"/>
  <c r="B387" i="3"/>
  <c r="AC404" i="3" l="1"/>
  <c r="B402" i="3"/>
  <c r="E396" i="3"/>
  <c r="B396" i="3"/>
  <c r="AC413" i="3" l="1"/>
  <c r="B411" i="3"/>
  <c r="E405" i="3"/>
  <c r="B405" i="3"/>
  <c r="AC422" i="3" l="1"/>
  <c r="B420" i="3"/>
  <c r="E414" i="3"/>
  <c r="B414" i="3"/>
  <c r="AC431" i="3" l="1"/>
  <c r="B429" i="3"/>
  <c r="E423" i="3"/>
  <c r="B423" i="3"/>
  <c r="AC440" i="3" l="1"/>
  <c r="B438" i="3"/>
  <c r="E432" i="3"/>
  <c r="B432" i="3"/>
  <c r="AC449" i="3" l="1"/>
  <c r="B447" i="3"/>
  <c r="E441" i="3"/>
  <c r="B441" i="3"/>
  <c r="AC458" i="3" l="1"/>
  <c r="B456" i="3"/>
  <c r="E450" i="3"/>
  <c r="B450" i="3"/>
  <c r="AC467" i="3" l="1"/>
  <c r="B465" i="3"/>
  <c r="E459" i="3"/>
  <c r="B459" i="3"/>
  <c r="AC476" i="3" l="1"/>
  <c r="B474" i="3"/>
  <c r="E468" i="3"/>
  <c r="B468" i="3"/>
  <c r="AC485" i="3" l="1"/>
  <c r="B483" i="3"/>
  <c r="E477" i="3"/>
  <c r="B477" i="3"/>
  <c r="AC494" i="3" l="1"/>
  <c r="B492" i="3"/>
  <c r="E486" i="3"/>
  <c r="B486" i="3"/>
  <c r="AC503" i="3" l="1"/>
  <c r="B501" i="3"/>
  <c r="E495" i="3"/>
  <c r="B495" i="3"/>
  <c r="AC512" i="3" l="1"/>
  <c r="B510" i="3"/>
  <c r="E504" i="3"/>
  <c r="B504" i="3"/>
  <c r="AC521" i="3" l="1"/>
  <c r="B519" i="3"/>
  <c r="E513" i="3"/>
  <c r="B513" i="3"/>
  <c r="AC530" i="3" l="1"/>
  <c r="B528" i="3"/>
  <c r="E522" i="3"/>
  <c r="B522" i="3"/>
  <c r="AC539" i="3" l="1"/>
  <c r="B537" i="3"/>
  <c r="E531" i="3"/>
  <c r="B531" i="3"/>
  <c r="AC548" i="3" l="1"/>
  <c r="B546" i="3"/>
  <c r="E540" i="3"/>
  <c r="B540" i="3"/>
  <c r="AC557" i="3" l="1"/>
  <c r="B555" i="3"/>
  <c r="E549" i="3"/>
  <c r="B549" i="3"/>
  <c r="AC566" i="3" l="1"/>
  <c r="B564" i="3"/>
  <c r="E558" i="3"/>
  <c r="B558" i="3"/>
  <c r="AC575" i="3" l="1"/>
  <c r="B573" i="3"/>
  <c r="E567" i="3"/>
  <c r="B567" i="3"/>
  <c r="AC584" i="3" l="1"/>
  <c r="B582" i="3"/>
  <c r="E576" i="3"/>
  <c r="B576" i="3"/>
  <c r="AC593" i="3" l="1"/>
  <c r="B591" i="3"/>
  <c r="E585" i="3"/>
  <c r="B585" i="3"/>
  <c r="AC602" i="3" l="1"/>
  <c r="B600" i="3"/>
  <c r="E594" i="3"/>
  <c r="B594" i="3"/>
  <c r="AC611" i="3" l="1"/>
  <c r="B609" i="3"/>
  <c r="E603" i="3"/>
  <c r="B603" i="3"/>
  <c r="AC620" i="3" l="1"/>
  <c r="B618" i="3"/>
  <c r="E612" i="3"/>
  <c r="B612" i="3"/>
  <c r="AC629" i="3" l="1"/>
  <c r="B627" i="3"/>
  <c r="E621" i="3"/>
  <c r="B621" i="3"/>
  <c r="AC638" i="3" l="1"/>
  <c r="B636" i="3"/>
  <c r="E630" i="3"/>
  <c r="B630" i="3"/>
  <c r="AC647" i="3" l="1"/>
  <c r="B645" i="3"/>
  <c r="E639" i="3"/>
  <c r="B639" i="3"/>
  <c r="AC656" i="3" l="1"/>
  <c r="B654" i="3"/>
  <c r="E648" i="3"/>
  <c r="B648" i="3"/>
  <c r="AC665" i="3" l="1"/>
  <c r="B663" i="3"/>
  <c r="E657" i="3"/>
  <c r="B657" i="3"/>
  <c r="AC674" i="3" l="1"/>
  <c r="B672" i="3"/>
  <c r="E666" i="3"/>
  <c r="B666" i="3"/>
  <c r="AC683" i="3" l="1"/>
  <c r="B681" i="3"/>
  <c r="E675" i="3"/>
  <c r="B675" i="3"/>
  <c r="AC692" i="3" l="1"/>
  <c r="B690" i="3"/>
  <c r="E684" i="3"/>
  <c r="B684" i="3"/>
  <c r="AC701" i="3" l="1"/>
  <c r="B699" i="3"/>
  <c r="E693" i="3"/>
  <c r="B693" i="3"/>
  <c r="AC710" i="3" l="1"/>
  <c r="B708" i="3"/>
  <c r="E702" i="3"/>
  <c r="B702" i="3"/>
  <c r="AC719" i="3" l="1"/>
  <c r="B717" i="3"/>
  <c r="E711" i="3"/>
  <c r="B711" i="3"/>
  <c r="AC728" i="3" l="1"/>
  <c r="B726" i="3"/>
  <c r="E720" i="3"/>
  <c r="B720" i="3"/>
  <c r="AC737" i="3" l="1"/>
  <c r="B735" i="3"/>
  <c r="E729" i="3"/>
  <c r="B729" i="3"/>
  <c r="AC746" i="3" l="1"/>
  <c r="B744" i="3"/>
  <c r="E738" i="3"/>
  <c r="B738" i="3"/>
  <c r="AC755" i="3" l="1"/>
  <c r="B753" i="3"/>
  <c r="E747" i="3"/>
  <c r="B747" i="3"/>
  <c r="AC764" i="3" l="1"/>
  <c r="B762" i="3"/>
  <c r="E756" i="3"/>
  <c r="B756" i="3"/>
  <c r="AC773" i="3" l="1"/>
  <c r="B771" i="3"/>
  <c r="E765" i="3"/>
  <c r="B765" i="3"/>
  <c r="AC782" i="3" l="1"/>
  <c r="B780" i="3"/>
  <c r="E774" i="3"/>
  <c r="B774" i="3"/>
  <c r="AC791" i="3" l="1"/>
  <c r="B789" i="3"/>
  <c r="E783" i="3"/>
  <c r="B783" i="3"/>
  <c r="AC800" i="3" l="1"/>
  <c r="B798" i="3"/>
  <c r="E792" i="3"/>
  <c r="B792" i="3"/>
  <c r="AC809" i="3" l="1"/>
  <c r="B807" i="3"/>
  <c r="E801" i="3"/>
  <c r="B801" i="3"/>
  <c r="AC818" i="3" l="1"/>
  <c r="B816" i="3"/>
  <c r="E810" i="3"/>
  <c r="B810" i="3"/>
  <c r="AC827" i="3" l="1"/>
  <c r="B825" i="3"/>
  <c r="E819" i="3"/>
  <c r="B819" i="3"/>
  <c r="AC836" i="3" l="1"/>
  <c r="B834" i="3"/>
  <c r="E828" i="3"/>
  <c r="B828" i="3"/>
  <c r="AC845" i="3" l="1"/>
  <c r="B843" i="3"/>
  <c r="E837" i="3"/>
  <c r="B837" i="3"/>
  <c r="AC854" i="3" l="1"/>
  <c r="B852" i="3"/>
  <c r="E846" i="3"/>
  <c r="B846" i="3"/>
  <c r="AC863" i="3" l="1"/>
  <c r="B861" i="3"/>
  <c r="E855" i="3"/>
  <c r="B855" i="3"/>
  <c r="AC872" i="3" l="1"/>
  <c r="B870" i="3"/>
  <c r="E864" i="3"/>
  <c r="B864" i="3"/>
  <c r="AC881" i="3" l="1"/>
  <c r="B879" i="3"/>
  <c r="E873" i="3"/>
  <c r="B873" i="3"/>
  <c r="AC890" i="3" l="1"/>
  <c r="B888" i="3"/>
  <c r="E882" i="3"/>
  <c r="B882" i="3"/>
  <c r="AC899" i="3" l="1"/>
  <c r="B897" i="3"/>
  <c r="E891" i="3"/>
  <c r="B891" i="3"/>
  <c r="AC908" i="3" l="1"/>
  <c r="B906" i="3"/>
  <c r="E900" i="3"/>
  <c r="B900" i="3"/>
  <c r="AC917" i="3" l="1"/>
  <c r="B915" i="3"/>
  <c r="E909" i="3"/>
  <c r="B909" i="3"/>
  <c r="AC926" i="3" l="1"/>
  <c r="B924" i="3"/>
  <c r="E918" i="3"/>
  <c r="B918" i="3"/>
  <c r="AC935" i="3" l="1"/>
  <c r="B933" i="3"/>
  <c r="E927" i="3"/>
  <c r="B927" i="3"/>
  <c r="AC944" i="3" l="1"/>
  <c r="B942" i="3"/>
  <c r="E936" i="3"/>
  <c r="B936" i="3"/>
  <c r="AC953" i="3" l="1"/>
  <c r="B951" i="3"/>
  <c r="E945" i="3"/>
  <c r="B945" i="3"/>
  <c r="AC962" i="3" l="1"/>
  <c r="B960" i="3"/>
  <c r="E954" i="3"/>
  <c r="B954" i="3"/>
  <c r="AC971" i="3" l="1"/>
  <c r="B969" i="3"/>
  <c r="E963" i="3"/>
  <c r="B963" i="3"/>
  <c r="AC980" i="3" l="1"/>
  <c r="B978" i="3"/>
  <c r="E972" i="3"/>
  <c r="B972" i="3"/>
  <c r="AC989" i="3" l="1"/>
  <c r="B987" i="3"/>
  <c r="E981" i="3"/>
  <c r="B981" i="3"/>
  <c r="AC998" i="3" l="1"/>
  <c r="B996" i="3"/>
  <c r="E990" i="3"/>
  <c r="B990" i="3"/>
  <c r="AC1007" i="3" l="1"/>
  <c r="B1005" i="3"/>
  <c r="E999" i="3"/>
  <c r="B999" i="3"/>
  <c r="AC1016" i="3" l="1"/>
  <c r="B1014" i="3"/>
  <c r="E1008" i="3"/>
  <c r="B1008" i="3"/>
  <c r="AC1025" i="3" l="1"/>
  <c r="B1023" i="3"/>
  <c r="E1017" i="3"/>
  <c r="B1017" i="3"/>
  <c r="AC1034" i="3" l="1"/>
  <c r="B1032" i="3"/>
  <c r="E1026" i="3"/>
  <c r="B1026" i="3"/>
  <c r="AC1043" i="3" l="1"/>
  <c r="B1041" i="3"/>
  <c r="E1035" i="3"/>
  <c r="B1035" i="3"/>
  <c r="AC1052" i="3" l="1"/>
  <c r="B1050" i="3"/>
  <c r="E1044" i="3"/>
  <c r="B1044" i="3"/>
  <c r="AC1061" i="3" l="1"/>
  <c r="B1059" i="3"/>
  <c r="E1053" i="3"/>
  <c r="B1053" i="3"/>
  <c r="AC1070" i="3" l="1"/>
  <c r="B1068" i="3"/>
  <c r="E1062" i="3"/>
  <c r="B1062" i="3"/>
  <c r="AC1079" i="3" l="1"/>
  <c r="B1077" i="3"/>
  <c r="E1071" i="3"/>
  <c r="B1071" i="3"/>
  <c r="AC1088" i="3" l="1"/>
  <c r="B1086" i="3"/>
  <c r="E1080" i="3"/>
  <c r="B1080" i="3"/>
  <c r="AC1097" i="3" l="1"/>
  <c r="B1095" i="3"/>
  <c r="E1089" i="3"/>
  <c r="B1089" i="3"/>
  <c r="AC1106" i="3" l="1"/>
  <c r="B1104" i="3"/>
  <c r="E1098" i="3"/>
  <c r="B1098" i="3"/>
  <c r="AC1115" i="3" l="1"/>
  <c r="B1113" i="3"/>
  <c r="E1107" i="3"/>
  <c r="B1107" i="3"/>
  <c r="AC1124" i="3" l="1"/>
  <c r="B1122" i="3"/>
  <c r="E1116" i="3"/>
  <c r="B1116" i="3"/>
  <c r="AC1133" i="3" l="1"/>
  <c r="B1131" i="3"/>
  <c r="E1125" i="3"/>
  <c r="B1125" i="3"/>
  <c r="AC1142" i="3" l="1"/>
  <c r="B1140" i="3"/>
  <c r="E1134" i="3"/>
  <c r="B1134" i="3"/>
  <c r="AC1151" i="3" l="1"/>
  <c r="B1149" i="3"/>
  <c r="E1143" i="3"/>
  <c r="B1143" i="3"/>
  <c r="AC1160" i="3" l="1"/>
  <c r="B1158" i="3"/>
  <c r="E1152" i="3"/>
  <c r="B1152" i="3"/>
  <c r="AC1169" i="3" l="1"/>
  <c r="B1167" i="3"/>
  <c r="E1161" i="3"/>
  <c r="B1161" i="3"/>
  <c r="AC1178" i="3" l="1"/>
  <c r="B1176" i="3"/>
  <c r="E1170" i="3"/>
  <c r="B1170" i="3"/>
  <c r="AC1187" i="3" l="1"/>
  <c r="B1185" i="3"/>
  <c r="E1179" i="3"/>
  <c r="B1179" i="3"/>
  <c r="AC1196" i="3" l="1"/>
  <c r="B1194" i="3"/>
  <c r="E1188" i="3"/>
  <c r="B1188" i="3"/>
  <c r="AC1205" i="3" l="1"/>
  <c r="B1203" i="3"/>
  <c r="E1197" i="3"/>
  <c r="B1197" i="3"/>
  <c r="AC1214" i="3" l="1"/>
  <c r="B1212" i="3"/>
  <c r="E1206" i="3"/>
  <c r="B1206" i="3"/>
  <c r="AC1223" i="3" l="1"/>
  <c r="B1221" i="3"/>
  <c r="E1215" i="3"/>
  <c r="B1215" i="3"/>
  <c r="AC1232" i="3" l="1"/>
  <c r="B1230" i="3"/>
  <c r="E1224" i="3"/>
  <c r="B1224" i="3"/>
  <c r="AC1241" i="3" l="1"/>
  <c r="B1239" i="3"/>
  <c r="E1233" i="3"/>
  <c r="B1233" i="3"/>
  <c r="AC1250" i="3" l="1"/>
  <c r="B1248" i="3"/>
  <c r="E1242" i="3"/>
  <c r="B1242" i="3"/>
  <c r="AC1259" i="3" l="1"/>
  <c r="B1257" i="3"/>
  <c r="E1251" i="3"/>
  <c r="B1251" i="3"/>
  <c r="AC1268" i="3" l="1"/>
  <c r="B1266" i="3"/>
  <c r="E1260" i="3"/>
  <c r="B1260" i="3"/>
  <c r="AC1277" i="3" l="1"/>
  <c r="B1275" i="3"/>
  <c r="E1269" i="3"/>
  <c r="B1269" i="3"/>
  <c r="AC1286" i="3" l="1"/>
  <c r="B1284" i="3"/>
  <c r="E1278" i="3"/>
  <c r="B1278" i="3"/>
  <c r="AC1295" i="3" l="1"/>
  <c r="B1293" i="3"/>
  <c r="E1287" i="3"/>
  <c r="B1287" i="3"/>
  <c r="AC1304" i="3" l="1"/>
  <c r="B1302" i="3"/>
  <c r="E1296" i="3"/>
  <c r="B1296" i="3"/>
  <c r="AC1313" i="3" l="1"/>
  <c r="B1311" i="3"/>
  <c r="E1305" i="3"/>
  <c r="B1305" i="3"/>
  <c r="AC1322" i="3" l="1"/>
  <c r="B1320" i="3"/>
  <c r="E1314" i="3"/>
  <c r="B1314" i="3"/>
  <c r="AC1331" i="3" l="1"/>
  <c r="B1329" i="3"/>
  <c r="E1323" i="3"/>
  <c r="B1323" i="3"/>
  <c r="AC1340" i="3" l="1"/>
  <c r="B1338" i="3"/>
  <c r="E1332" i="3"/>
  <c r="B1332" i="3"/>
  <c r="AC1349" i="3" l="1"/>
  <c r="B1347" i="3"/>
  <c r="E1341" i="3"/>
  <c r="B1341" i="3"/>
  <c r="AC1358" i="3" l="1"/>
  <c r="B1356" i="3"/>
  <c r="E1350" i="3"/>
  <c r="B1350" i="3"/>
  <c r="AC1367" i="3" l="1"/>
  <c r="B1365" i="3"/>
  <c r="E1359" i="3"/>
  <c r="B1359" i="3"/>
  <c r="AC1376" i="3" l="1"/>
  <c r="B1374" i="3"/>
  <c r="E1368" i="3"/>
  <c r="B1368" i="3"/>
  <c r="AC1385" i="3" l="1"/>
  <c r="B1383" i="3"/>
  <c r="E1377" i="3"/>
  <c r="B1377" i="3"/>
  <c r="AC1394" i="3" l="1"/>
  <c r="B1392" i="3"/>
  <c r="E1386" i="3"/>
  <c r="B1386" i="3"/>
  <c r="AC1403" i="3" l="1"/>
  <c r="B1401" i="3"/>
  <c r="E1395" i="3"/>
  <c r="B1395" i="3"/>
  <c r="AC1412" i="3" l="1"/>
  <c r="B1410" i="3"/>
  <c r="E1404" i="3"/>
  <c r="B1404" i="3"/>
  <c r="AC1421" i="3" l="1"/>
  <c r="B1419" i="3"/>
  <c r="E1413" i="3"/>
  <c r="B1413" i="3"/>
  <c r="AC1430" i="3" l="1"/>
  <c r="B1428" i="3"/>
  <c r="E1422" i="3"/>
  <c r="B1422" i="3"/>
  <c r="AC1439" i="3" l="1"/>
  <c r="B1437" i="3"/>
  <c r="E1431" i="3"/>
  <c r="B1431" i="3"/>
  <c r="AC1448" i="3" l="1"/>
  <c r="B1446" i="3"/>
  <c r="E1440" i="3"/>
  <c r="B1440" i="3"/>
  <c r="AC1457" i="3" l="1"/>
  <c r="B1455" i="3"/>
  <c r="E1449" i="3"/>
  <c r="B1449" i="3"/>
  <c r="AC1466" i="3" l="1"/>
  <c r="B1464" i="3"/>
  <c r="E1458" i="3"/>
  <c r="B1458" i="3"/>
  <c r="AC1475" i="3" l="1"/>
  <c r="B1473" i="3"/>
  <c r="E1467" i="3"/>
  <c r="B1467" i="3"/>
  <c r="AC1484" i="3" l="1"/>
  <c r="B1482" i="3"/>
  <c r="E1476" i="3"/>
  <c r="B1476" i="3"/>
  <c r="AC1493" i="3" l="1"/>
  <c r="B1491" i="3"/>
  <c r="E1485" i="3"/>
  <c r="B1485" i="3"/>
  <c r="AC1502" i="3" l="1"/>
  <c r="B1500" i="3"/>
  <c r="E1494" i="3"/>
  <c r="B1494" i="3"/>
  <c r="AC1511" i="3" l="1"/>
  <c r="B1509" i="3"/>
  <c r="E1503" i="3"/>
  <c r="B1503" i="3"/>
  <c r="AC1520" i="3" l="1"/>
  <c r="B1518" i="3"/>
  <c r="E1512" i="3"/>
  <c r="B1512" i="3"/>
  <c r="AC1529" i="3" l="1"/>
  <c r="B1527" i="3"/>
  <c r="E1521" i="3"/>
  <c r="B1521" i="3"/>
  <c r="AC1538" i="3" l="1"/>
  <c r="B1536" i="3"/>
  <c r="E1530" i="3"/>
  <c r="B1530" i="3"/>
  <c r="AC1547" i="3" l="1"/>
  <c r="B1545" i="3"/>
  <c r="E1539" i="3"/>
  <c r="B1539" i="3"/>
  <c r="AC1556" i="3" l="1"/>
  <c r="B1554" i="3"/>
  <c r="E1548" i="3"/>
  <c r="B1548" i="3"/>
  <c r="AC1565" i="3" l="1"/>
  <c r="B1563" i="3"/>
  <c r="E1557" i="3"/>
  <c r="B1557" i="3"/>
  <c r="AC1574" i="3" l="1"/>
  <c r="B1572" i="3"/>
  <c r="E1566" i="3"/>
  <c r="B1566" i="3"/>
  <c r="AC1583" i="3" l="1"/>
  <c r="B1581" i="3"/>
  <c r="E1575" i="3"/>
  <c r="B1575" i="3"/>
  <c r="AC1592" i="3" l="1"/>
  <c r="B1590" i="3"/>
  <c r="E1584" i="3"/>
  <c r="B1584" i="3"/>
  <c r="AC1601" i="3" l="1"/>
  <c r="B1599" i="3"/>
  <c r="E1593" i="3"/>
  <c r="B1593" i="3"/>
  <c r="AC1610" i="3" l="1"/>
  <c r="B1608" i="3"/>
  <c r="E1602" i="3"/>
  <c r="B1602" i="3"/>
  <c r="AC1619" i="3" l="1"/>
  <c r="B1617" i="3"/>
  <c r="E1611" i="3"/>
  <c r="B1611" i="3"/>
  <c r="AC1628" i="3" l="1"/>
  <c r="B1626" i="3"/>
  <c r="E1620" i="3"/>
  <c r="B1620" i="3"/>
  <c r="AC1637" i="3" l="1"/>
  <c r="B1635" i="3"/>
  <c r="E1629" i="3"/>
  <c r="B1629" i="3"/>
  <c r="AC1646" i="3" l="1"/>
  <c r="B1644" i="3"/>
  <c r="E1638" i="3"/>
  <c r="B1638" i="3"/>
  <c r="AC1655" i="3" l="1"/>
  <c r="B1653" i="3"/>
  <c r="E1647" i="3"/>
  <c r="B1647" i="3"/>
  <c r="AC1664" i="3" l="1"/>
  <c r="B1662" i="3"/>
  <c r="E1656" i="3"/>
  <c r="B1656" i="3"/>
  <c r="AC1673" i="3" l="1"/>
  <c r="B1671" i="3"/>
  <c r="E1665" i="3"/>
  <c r="B1665" i="3"/>
  <c r="AC1682" i="3" l="1"/>
  <c r="B1680" i="3"/>
  <c r="E1674" i="3"/>
  <c r="B1674" i="3"/>
  <c r="AC1691" i="3" l="1"/>
  <c r="B1689" i="3"/>
  <c r="E1683" i="3"/>
  <c r="B1683" i="3"/>
  <c r="AC1700" i="3" l="1"/>
  <c r="B1698" i="3"/>
  <c r="E1692" i="3"/>
  <c r="B1692" i="3"/>
  <c r="AC1709" i="3" l="1"/>
  <c r="B1707" i="3"/>
  <c r="E1701" i="3"/>
  <c r="B1701" i="3"/>
  <c r="AC1718" i="3" l="1"/>
  <c r="B1716" i="3"/>
  <c r="E1710" i="3"/>
  <c r="B1710" i="3"/>
  <c r="AC1727" i="3" l="1"/>
  <c r="B1725" i="3"/>
  <c r="E1719" i="3"/>
  <c r="B1719" i="3"/>
  <c r="AC1736" i="3" l="1"/>
  <c r="B1734" i="3"/>
  <c r="E1728" i="3"/>
  <c r="B1728" i="3"/>
  <c r="AC1745" i="3" l="1"/>
  <c r="B1743" i="3"/>
  <c r="E1737" i="3"/>
  <c r="B1737" i="3"/>
  <c r="AC1754" i="3" l="1"/>
  <c r="B1752" i="3"/>
  <c r="E1746" i="3"/>
  <c r="B1746" i="3"/>
  <c r="AC1763" i="3" l="1"/>
  <c r="B1761" i="3"/>
  <c r="E1755" i="3"/>
  <c r="B1755" i="3"/>
  <c r="AC1772" i="3" l="1"/>
  <c r="B1770" i="3"/>
  <c r="E1764" i="3"/>
  <c r="B1764" i="3"/>
  <c r="AC1781" i="3" l="1"/>
  <c r="B1779" i="3"/>
  <c r="E1773" i="3"/>
  <c r="B1773" i="3"/>
  <c r="AC1790" i="3" l="1"/>
  <c r="B1788" i="3"/>
  <c r="E1782" i="3"/>
  <c r="B1782" i="3"/>
  <c r="AC1799" i="3" l="1"/>
  <c r="B1797" i="3"/>
  <c r="E1791" i="3"/>
  <c r="B1791" i="3"/>
  <c r="AC1808" i="3" l="1"/>
  <c r="B1806" i="3"/>
  <c r="E1800" i="3"/>
  <c r="B1800" i="3"/>
  <c r="B1815" i="3" l="1"/>
  <c r="E1809" i="3"/>
  <c r="B1809" i="3"/>
</calcChain>
</file>

<file path=xl/sharedStrings.xml><?xml version="1.0" encoding="utf-8"?>
<sst xmlns="http://schemas.openxmlformats.org/spreadsheetml/2006/main" count="1176" uniqueCount="937">
  <si>
    <t>14ª BRIGADA DE INFANTARIA MOTORIZADA</t>
  </si>
  <si>
    <t>"Brigada Silva Paes"</t>
  </si>
  <si>
    <t>QUADRO DE SOLICITAÇÃO DE GRATIFICAÇÃO DE REPRESENTAÇÃO</t>
  </si>
  <si>
    <t>Nr:</t>
  </si>
  <si>
    <t>OM:</t>
  </si>
  <si>
    <t>63º BI</t>
  </si>
  <si>
    <t>Evento Pré Autorizado pelo Adt BI CMS?:</t>
  </si>
  <si>
    <t>SIM</t>
  </si>
  <si>
    <t>Enquadramento no Adt BI CMS (para eventos pré autorizados)</t>
  </si>
  <si>
    <t>185 - Operação Hórus (Faixa de Fronteira).</t>
  </si>
  <si>
    <t>Amparo Legal</t>
  </si>
  <si>
    <t>Evento</t>
  </si>
  <si>
    <t>Descrição do Evento</t>
  </si>
  <si>
    <t>Atividade do Evento</t>
  </si>
  <si>
    <t>Emprego Operacional</t>
  </si>
  <si>
    <t>I. Operação real ou de adestramento, estabelecida para fins administrativos, operacionais ou logísticos</t>
  </si>
  <si>
    <t>Inciso III, do Art. 5º do Decreto nº 11.002, de 17 Mar 22. Alíneas a) e b)</t>
  </si>
  <si>
    <t>Gu Origem</t>
  </si>
  <si>
    <t>Saída</t>
  </si>
  <si>
    <t>Dia</t>
  </si>
  <si>
    <t>Mês</t>
  </si>
  <si>
    <t>Ano</t>
  </si>
  <si>
    <t>Hora</t>
  </si>
  <si>
    <t>Qtd Grat Rep</t>
  </si>
  <si>
    <t>Bol Int</t>
  </si>
  <si>
    <t>Florianópolis/SC</t>
  </si>
  <si>
    <t>Gu Destino</t>
  </si>
  <si>
    <t>Retorno</t>
  </si>
  <si>
    <t>Posto / Grad</t>
  </si>
  <si>
    <t>Nome</t>
  </si>
  <si>
    <t>Valor 2%</t>
  </si>
  <si>
    <t>Valor Devido</t>
  </si>
  <si>
    <t>Total</t>
  </si>
  <si>
    <t xml:space="preserve">Florianópolis – SC </t>
  </si>
  <si>
    <t>LUIS HENRIQUE VIGHI TEIXEIRA – CEL</t>
  </si>
  <si>
    <t>Comandante do 63º BI</t>
  </si>
  <si>
    <t>NÚMERO</t>
  </si>
  <si>
    <t>SAÍDA</t>
  </si>
  <si>
    <t>DIA</t>
  </si>
  <si>
    <t>MES</t>
  </si>
  <si>
    <t>ANO</t>
  </si>
  <si>
    <t>HORA</t>
  </si>
  <si>
    <t>BI</t>
  </si>
  <si>
    <t xml:space="preserve">BI Nr 182, de 02/10/2025 </t>
  </si>
  <si>
    <t>CONCATENADO</t>
  </si>
  <si>
    <t>CHAGADA</t>
  </si>
  <si>
    <t>CIDADE</t>
  </si>
  <si>
    <t>GUAIRA - PR</t>
  </si>
  <si>
    <t>DIAS</t>
  </si>
  <si>
    <t>FINALIDADE</t>
  </si>
  <si>
    <t>PARTICIPAR DA OPERAÇÃO HORUS.</t>
  </si>
  <si>
    <t>DIEx Btl</t>
  </si>
  <si>
    <t>TESTE AZUL</t>
  </si>
  <si>
    <t>DIEx Bda</t>
  </si>
  <si>
    <t>TESTE VERMELHO</t>
  </si>
  <si>
    <t>MILITAR</t>
  </si>
  <si>
    <t>Eventos Pré Autorizados CMS</t>
  </si>
  <si>
    <t>NÃO</t>
  </si>
  <si>
    <t>0. Evento Sem Pré Autorização</t>
  </si>
  <si>
    <t>1 - Adestramento Básico em Ambiente Virtual - CI Bld;</t>
  </si>
  <si>
    <t>Viagem de Representação</t>
  </si>
  <si>
    <t>Deslocamento realizado por militar da ativa para fora de sua sede, por interesse da instituição, na condição de representante do MD ou dos Comandos das Forças, para participação em eventos de natureza militar ou civil, inclusive os de cunho cultural ou desportivo</t>
  </si>
  <si>
    <t>A. Representação por determinação de autoridade competente</t>
  </si>
  <si>
    <t>2 - Adestramento de Corneteiro e Clarins fora da sede</t>
  </si>
  <si>
    <t>Viagem de Instrução</t>
  </si>
  <si>
    <t>Atividade realizada por militar da ativa fora de sua sede, cujo objetivo esteja relacionado com ensino ou instrução, orientação técnica ou inspeção de comando</t>
  </si>
  <si>
    <t>B. Competições Desportivas  Hípicas, oficiais, previstas no Calendário do Programa Desportivo do Exército Brasileiro</t>
  </si>
  <si>
    <t>3 - Ap Def Civ - 14ª Bda Inf Mtz - Exc Ajuda Humanitária</t>
  </si>
  <si>
    <t xml:space="preserve">Atividade realizada por militar da ativa, por meio de designação específica ou como tripulante de embarcação ou aeronave, diretamente relacionada a </t>
  </si>
  <si>
    <t>C. Eventos e exercícios no terreno, fora de sede</t>
  </si>
  <si>
    <t>4 - Apanha de Suprimento Classe I, II e V - fora da sede,</t>
  </si>
  <si>
    <t>D. PCI realizados fora de sede da OM</t>
  </si>
  <si>
    <t>5 - Apoio de Comunicações, na composição do CCOP da 3ª DE,</t>
  </si>
  <si>
    <t>E. Militares de outras OM que apoiaram, fora de sede, os eventos e exercícios de terreno</t>
  </si>
  <si>
    <t>6 - Apoio de Pessoal ao Setor de Aprovisionamento em formaturas e ou eventos realizados em localidades fora da sede.</t>
  </si>
  <si>
    <t>F. Viagem de Orientação Técnica</t>
  </si>
  <si>
    <t>SOLDOS</t>
  </si>
  <si>
    <t>7 - Apoio de Polícia do Exército - Segurança de Autoridade / Instalações/Emprego de cães (faro);</t>
  </si>
  <si>
    <t>Amparo</t>
  </si>
  <si>
    <t>G. Inspeções de instrução previstas no Plano de Instrução Militar do COTER (PIM/COTER) e na Diretriz de Instrução Militar (DIM)</t>
  </si>
  <si>
    <t>Gen Bda</t>
  </si>
  <si>
    <t>8 - Apoio de saúde em Ação Civico-Social, em Pericia Contábil, em Pericia Judicial, como Assistente Técnico da União em Pericia Judicial e como</t>
  </si>
  <si>
    <t>Inciso I, do Art. 5º do Decreto nº 11.002, de 17 Mar 22.</t>
  </si>
  <si>
    <t>H. Atividades logísticas e administrativas previstas no calendário da 4ª Seção, inclusive Apoio Logístio de Pessoal</t>
  </si>
  <si>
    <t>Cel</t>
  </si>
  <si>
    <t>9 - Apoio Direto de Comunicação Social e Cobertura Midiática fora da sede,</t>
  </si>
  <si>
    <t>Inciso II, do Art. 5º do Decreto nº 11.002, de 17 Mar 22.</t>
  </si>
  <si>
    <t>Ten Cel</t>
  </si>
  <si>
    <t>10 - Apoio Direto de Manutenção Logística;</t>
  </si>
  <si>
    <t>J. Ações militares de vigilância de fronteira destinadas à preservação da integridade territorial do País e à garantia da soberania nacional desenvolvidas por militares que componham o efetivo de pelotões especiais de fronteira ou de destacamento especiais de fronteira</t>
  </si>
  <si>
    <t>Maj</t>
  </si>
  <si>
    <t>11 - Apoio Direto de Serviço de Engenharia fora da sede;</t>
  </si>
  <si>
    <t>Inciso III, do Art. 5º do Decreto nº 11.002, de 17 Mar 22. Alínea c)</t>
  </si>
  <si>
    <t>K. Ações militares de operações de garantia da lei e da ordem, de que trata o art. 15 da Lei Complementar nº 97, de 9 de junho de 1999</t>
  </si>
  <si>
    <t>Cap</t>
  </si>
  <si>
    <t>12 - Apoio Direto de Transporte de Material por rodovias para fora da sede,</t>
  </si>
  <si>
    <t>Inciso III, do Art. 5º do Decreto nº 11.002, de 17 Mar 22. Alínea d)</t>
  </si>
  <si>
    <t>L. Ações relacionadas às atribuições subsidiárias das Forças armadas, de que tratam a art. 16, o 16-A e o inciso VI do caput do art 18 da Lei Complementar nº 97, de 1999</t>
  </si>
  <si>
    <t>1º Ten</t>
  </si>
  <si>
    <t>13 - Apoio Direto de Transporte de Pessoal por rodovias para fora da sede,</t>
  </si>
  <si>
    <t>Inciso III, do Art. 5º do Decreto nº 11.002, de 17 Mar 22. Alínea e)</t>
  </si>
  <si>
    <t>M. Adestramento para participação em missões de paz</t>
  </si>
  <si>
    <t>2º Ten</t>
  </si>
  <si>
    <t>14 - Apoio Direto em Diligências (IPM/Sindicâncias) fora da sede;</t>
  </si>
  <si>
    <t>Inciso III, do Art. 5º do Decreto nº 11.002, de 17 Mar 22. Alínea f)</t>
  </si>
  <si>
    <t>N. Participação, fora de sede, em serviços de engenharia</t>
  </si>
  <si>
    <t>Asp</t>
  </si>
  <si>
    <t>15 - Apoio e Serviços de Engenharia, fora da sede</t>
  </si>
  <si>
    <t>O. Participação, fora de sede, em serviços de cartografia</t>
  </si>
  <si>
    <t>SubTen</t>
  </si>
  <si>
    <t>16 - Apoio logístico de transporte de pessoal, fora da sede da OM;</t>
  </si>
  <si>
    <t>P. Participação, fora de sede, em levantamento topográfico</t>
  </si>
  <si>
    <t>1º Sgt</t>
  </si>
  <si>
    <t>17 - Apoio logístico no transporte de material de emprego militar, fora do quartel-general da OM, -</t>
  </si>
  <si>
    <t>Q. Participação, fora de sede, em escolta</t>
  </si>
  <si>
    <t>2º Sgt</t>
  </si>
  <si>
    <t>18 - Apoio médico veterinário em temporadas hípicas;</t>
  </si>
  <si>
    <t>R. Participação, fora de sede, em perícia</t>
  </si>
  <si>
    <t>3º Sgt</t>
  </si>
  <si>
    <t>19 - Apoio na realização de Exames Psicológicos dos candidatos ao Curso de Formação e Graduação de Sargentos do Exército (CFGS 2024/2025),</t>
  </si>
  <si>
    <t>S. Participação, fora de sede, em geoinformação</t>
  </si>
  <si>
    <t>Al</t>
  </si>
  <si>
    <t>20 - Atividade Administrativa de Emissão de Certificado Digital;</t>
  </si>
  <si>
    <t>T. Participação, fora de sede, em implantação e manutenção da infraestrutura de tecnologia de comunicações</t>
  </si>
  <si>
    <t>Cb</t>
  </si>
  <si>
    <t>21 - Atividade de Acompanhamento da Preparação (fase 1) - FORPRON;</t>
  </si>
  <si>
    <t>U. Participação, fora de sede, em avaliação de sistemas e materiais de emprego militar e de produtos de defesa</t>
  </si>
  <si>
    <t>Sd EP</t>
  </si>
  <si>
    <t>22 - Atividade de Apoio ao Adestramento e Apoio a Certificação,</t>
  </si>
  <si>
    <t>V. Participação, fora de sede, em atividades relacionadas à manutenção</t>
  </si>
  <si>
    <t>Sd EV</t>
  </si>
  <si>
    <t>23 - Atividade de Assistência Social;</t>
  </si>
  <si>
    <t>24 - Atividade de Campanha do Curso de Formação de Cabos (CFC);</t>
  </si>
  <si>
    <t>25 - Atividade de Campanha do Estágio Básico de Oficial Técnico Temporário (EBOT);</t>
  </si>
  <si>
    <t>26 - Atividade de Campanha do Estágio Básico de Sargento Temporário (EBST);</t>
  </si>
  <si>
    <t>27 - Atividade de Campanha do NPOR,</t>
  </si>
  <si>
    <t>28 - Atividade de Diligências de PE, fora da sede;</t>
  </si>
  <si>
    <t>29 - Atividade de Escolta em Motocicletas PE nas Visitas de Autoridades - fora da sede, - Atividade de Troca de Motocicletas PE entre as OMPE - fora da sede,</t>
  </si>
  <si>
    <t>30 - Atividade Relacionada com Apresentação Institucional da Banda de Música fora da sede;</t>
  </si>
  <si>
    <t>31 - Atividade Relacionada com Comissão de Seleção Complementar fora da sede,</t>
  </si>
  <si>
    <t>32 - Atividade Relacionada com Inspeção de Saúde de militares em OMSau fora da sede;</t>
  </si>
  <si>
    <t>33 - Atividades da Comissão de Seleção fora da Sede;</t>
  </si>
  <si>
    <t>34 - Atividades da Semana da Pátria,</t>
  </si>
  <si>
    <t>35 - Atividades de Operações de Informação - fora da sede,</t>
  </si>
  <si>
    <t>36 - Atividades de Operações de Inteligência - fora da sede;</t>
  </si>
  <si>
    <t>37 - Atividades de Preparação para a Certificação da FORPORN,</t>
  </si>
  <si>
    <t>38 - Atividades de VOT Gestão Ambiental;</t>
  </si>
  <si>
    <t>39 - Atividades Desportivas, fora da sede;</t>
  </si>
  <si>
    <t>40 - Atividades envolvidas na Instrução Individual Basica,</t>
  </si>
  <si>
    <t>41 - Atividades relacionadas ao Exercício de Simulação Viva (CA - Sul);</t>
  </si>
  <si>
    <t>42 - Atividades Religiosas no Âmbito da 5ª DE (SAREx);</t>
  </si>
  <si>
    <t>43 - BOMBEIROS NPOR (Angelina-SC)</t>
  </si>
  <si>
    <t>44 - Capacitação de Operador do Polígono de Tiro do CIMH,</t>
  </si>
  <si>
    <t>45 - Capacitação em Com Soc e RI-5ª DE.</t>
  </si>
  <si>
    <t>46 - Capacitação em Georreferenciamento, -</t>
  </si>
  <si>
    <t>47 - Capacitação em Inteligência - 5ª DE,</t>
  </si>
  <si>
    <t>48 - Capacitação em Manutenção Classe II, V, VI e IX no Blog orgânico da GU,</t>
  </si>
  <si>
    <t>49 - Capacitação Técnica e Tática do Efetivo Profissional de OF/Sgt - fora da sede,</t>
  </si>
  <si>
    <t>50 - Cerimônia Nacional do Cerco da Lapa,</t>
  </si>
  <si>
    <t>51 - Certificação FORPRON Geral,</t>
  </si>
  <si>
    <t>52 - Certificação Simulação Construtiva e Viva 15ª Bda Inf Mec e 5ª Bda C Bld,</t>
  </si>
  <si>
    <t>53 - Comando e Passagem do Cargo de Adjunto de Comando, Atividades de Representação em Solenidades de Conclusão de Cursos de Aperfeiçoamento,</t>
  </si>
  <si>
    <t>54 - Competição de Grupo de Combate Motorizado do CMS (GC Mtz);</t>
  </si>
  <si>
    <t>55 - Competição de Guarnição de Blindado da 6ª Bda Inf Bld, fora da sede,</t>
  </si>
  <si>
    <t>56 - Competições Desportivas fora da sede,</t>
  </si>
  <si>
    <t>57 - Concurso de Ordem Unida - fora da sede,</t>
  </si>
  <si>
    <t>58 - Curso de Formação de Motorista Categoria C, D e E;</t>
  </si>
  <si>
    <t>59 - Curso de Operador de Equipamento SARP,</t>
  </si>
  <si>
    <t>60 - Deslocamento de militares para participar de Reuniões Setoriais;</t>
  </si>
  <si>
    <t xml:space="preserve">61 - Deslocamento dos Comandantes, Chefes e Diretores à guarnição de Porto Alegre para </t>
  </si>
  <si>
    <t>62 - Deslocamento operacional/administrativo/apoio logistico e transporte de blindados.</t>
  </si>
  <si>
    <t>63 - Dia da Conquista de ForNovo, fora da cadeira.</t>
  </si>
  <si>
    <t>64 - Dia da Vitória, fora da sede:</t>
  </si>
  <si>
    <t>65 - Dia do Exército, fora da sede,</t>
  </si>
  <si>
    <t>66 - Dia do Expedicionário, fora da sede;</t>
  </si>
  <si>
    <t>67 - ELD NPOR (Tubarão-SC)</t>
  </si>
  <si>
    <t>68 - Emergência de Localidades, fora da sede.</t>
  </si>
  <si>
    <t>69 - Estágio APHT,</t>
  </si>
  <si>
    <t>70 - Estágio de Área de Adestramento e Emprego de Cães de Guerra,</t>
  </si>
  <si>
    <t>71 - Estágio de Área de APH Tático;</t>
  </si>
  <si>
    <t>72 - Estágio de Área de Atendimento Pré-Hospitalar Tático (nível III),</t>
  </si>
  <si>
    <t>73 - Estágio de Área de Batedor e Motociclista Militar,</t>
  </si>
  <si>
    <t>74 - Estágio de Área de Caçador</t>
  </si>
  <si>
    <t>75 - Estágio de Área de Caçador de Corpo de Tropa;</t>
  </si>
  <si>
    <t>76 - Estágio de Área de Caçador,</t>
  </si>
  <si>
    <t>77 - Estágio de Área de Combate Corpo a Corpo,</t>
  </si>
  <si>
    <t>78 - Estágio de Área de Ferradoria;</t>
  </si>
  <si>
    <t>79 - Estágio de Área de Gerenciamento de Frota Blindada;</t>
  </si>
  <si>
    <t>80 - Estágio de Área de Instrutor de Operações com Explosivos e Empaiolamento;</t>
  </si>
  <si>
    <t>81 - Estágio de Área de Inteligência Militar,</t>
  </si>
  <si>
    <t>82 - Estágio de Área de Morteiro Pesado;</t>
  </si>
  <si>
    <t>83 - Estágio de Área de Motociclista Militar,</t>
  </si>
  <si>
    <t>84 - Estágio de Área de Op Explosivos 2ª Turno</t>
  </si>
  <si>
    <t>85 - Estágio de Área de Operação da VBC OAP M109,</t>
  </si>
  <si>
    <t>86 - Estagio de Área de Operação de Informação,</t>
  </si>
  <si>
    <t>87 - Estágio de Área de Operação e Manutenção de Geradores, fora da sede,</t>
  </si>
  <si>
    <t>88 - Estágio de Área de Operação Explosivos 1º e 2º Turno,</t>
  </si>
  <si>
    <t>89 - Estágio de Área de Operações com Explosivos;</t>
  </si>
  <si>
    <t>90 - Estágio de Área de Operador dos Rádios Harris,</t>
  </si>
  <si>
    <t>91 - Estágio de Área de Prevenção de Acidentes com Motocicleta,</t>
  </si>
  <si>
    <t>92 - Estágio de Área de Segurança de Autoridade (SA).</t>
  </si>
  <si>
    <t>93 - Estágio de Área de Segurança e Proteção de Autoridade,</t>
  </si>
  <si>
    <t>94 - Estágio de Área de Técnicas, Táticas e Procedimentos para Operações Urbanas;</t>
  </si>
  <si>
    <t>95 - Estágio de Área de TTP para Op Ter e Flu na Fx Fron</t>
  </si>
  <si>
    <t>96 - Estágio de Área de TTP para Operações Terrestres e Fluviais na Faixa da Fronteira,</t>
  </si>
  <si>
    <t>97 - Estágio de Área de TTP para Operações Urbanas</t>
  </si>
  <si>
    <t>98 - Estagio de Área de TTP para Operações Urbanas.</t>
  </si>
  <si>
    <t>99 - Estágio de ARRAS - 15° Bda Inf Mec;</t>
  </si>
  <si>
    <t>100 - Estágio de Caatinga para OCA,</t>
  </si>
  <si>
    <t>101 - Estágio de Capacitação do Site Tático SRDT (apoio do 9º B Com GE);</t>
  </si>
  <si>
    <t>102 - Estágio de Habilitação de Identificador de Corpo de Tropa;</t>
  </si>
  <si>
    <t>103 - Estágio de Planejamento de Exercícios com apoio da Simulação de Combate,</t>
  </si>
  <si>
    <t>104 - Estágio de Prevenção de Acidentes com Motocicletas - EPAM, fora da sede,</t>
  </si>
  <si>
    <t>105 - Estágio de Reconhecimento e Vigilância de Inteligência, no 6º BIM;</t>
  </si>
  <si>
    <t>106 - Estágio do Sistema de Aeronaves Remotamente Pilotada, no 6º BIM,</t>
  </si>
  <si>
    <t>107 - Estágio Preparatório de Corpo de Tropa;</t>
  </si>
  <si>
    <t>108 - Estágio Setorial de OCA-COTER;</t>
  </si>
  <si>
    <t>109 - Evacuações médicas de pacientes ao HMAPA, HGSM e HGuA,</t>
  </si>
  <si>
    <t>110 - Eventos Oficiais de passagem de Comando e Aniversário de G Cmdo, GU e OM;</t>
  </si>
  <si>
    <t>111 - Exercício Araucária;</t>
  </si>
  <si>
    <t>112 - Exercício Cavalo de Troia,</t>
  </si>
  <si>
    <t>113 - Exercício Colimação – ForPron,</t>
  </si>
  <si>
    <t>114 - Exercício Combinado Paraná IV;</t>
  </si>
  <si>
    <t>115 - Exercício Conjunto Operação ATLAS 2025,</t>
  </si>
  <si>
    <t>116 - Exercício de Adestramento com Simulação Construtiva,</t>
  </si>
  <si>
    <t>117 - Exercício de Adestramento com Simulação Viva Certificação da FORPRON,</t>
  </si>
  <si>
    <t>118 - Exercício de Adestramento da Artilharia Antiaérea - Exercício SAGITTA PRIMUS SAICĂ,</t>
  </si>
  <si>
    <t>119 - Exercício de Campanha Adestramento Reserva e Mobilização,</t>
  </si>
  <si>
    <t>120 - Exercício de Defesa Civil,</t>
  </si>
  <si>
    <t>121 - Exercício de Formação Observador e Controladores do Adestramento (OCA) - GU/G Cmdo Art,</t>
  </si>
  <si>
    <t>122 - Exercício de PO - 5ª DE;</t>
  </si>
  <si>
    <t>123 - Exercício de Posto de Comando com apoio de Simulação Construtiva,</t>
  </si>
  <si>
    <t>124 - Exercício Escudo Antiaéreo,</t>
  </si>
  <si>
    <t>125 - Exercício Guardião dos Campos,</t>
  </si>
  <si>
    <t>126 - Exercício no Terreno com execução de Tiro Real - Preparação CORE 25,</t>
  </si>
  <si>
    <t>127 - Exercício Operação BRIGADEIRO GURJÃO.</t>
  </si>
  <si>
    <t>128 - Exercício Operação Trovão,</t>
  </si>
  <si>
    <t>129 - Exercício Pantanal (CMO),</t>
  </si>
  <si>
    <t>130 - Exercício Santa Bárbara (2ª DE);</t>
  </si>
  <si>
    <t>131 - Exercício Santa Bárbara do Oeste (CMO);</t>
  </si>
  <si>
    <t>132 - EXPOEX,</t>
  </si>
  <si>
    <t>133 - ExPOEx, na Guarnição de Porto Alegre - RS,</t>
  </si>
  <si>
    <t>134 - Exposição de Blindados no Parque da Oktoberfest.</t>
  </si>
  <si>
    <t>135 - Exposição do Exército (EXPOEX);</t>
  </si>
  <si>
    <t>136 - Inspeção Anual de Munição do Exército (IAMEx);</t>
  </si>
  <si>
    <t>137 - Inspeção Anual de Uniformes do Exército (IAUEx);</t>
  </si>
  <si>
    <t>138 - Inspeção de Comando;</t>
  </si>
  <si>
    <t>139 - Inspeção de Orientação Técnica,</t>
  </si>
  <si>
    <t>140 - Inspeção Logística;</t>
  </si>
  <si>
    <t>141 - Inspeção Logística/Administrativa - G Cmdo/GU - fora da sede;</t>
  </si>
  <si>
    <t>142 - Instrução de Cavalariça e Ferradoria,</t>
  </si>
  <si>
    <t>143 - Instrução de Nivelamento e Procedimentos de C2,</t>
  </si>
  <si>
    <t>144 - Instrução de Nivelamento e Procedimentos de Instrução de Blindados,</t>
  </si>
  <si>
    <t>145 - Instrução de Nivelamento e Procedimentos de Pel Mrt P das GU,</t>
  </si>
  <si>
    <t>146 - Instrução de Turma de Levantamento e Destruição de Fogos (TULEDEF);</t>
  </si>
  <si>
    <t>147 - Instrução Individual Básica - Campo da IIB - fora da sede;</t>
  </si>
  <si>
    <t>148 - Instrução Individual de Qualificação, fora da sede;</t>
  </si>
  <si>
    <t>149 - Instrução Individual de Requalificação e Nivelamento de Cb/Sd - fora da sede;</t>
  </si>
  <si>
    <t>150 - Instrução Técnica Sml MsI BIB/RCC conduzida pelo CTEX,</t>
  </si>
  <si>
    <t>151 - Jogos de Guerra - Operação FOGO,</t>
  </si>
  <si>
    <t>152 - Manobra Escolar da AMAN,</t>
  </si>
  <si>
    <t>153 - Missão de apoio de Saúde em localidades, fora da sede, - Apoio de saúde às Comissões de</t>
  </si>
  <si>
    <t>154 - OLIMBLIND para 5º Bda C Bld;</t>
  </si>
  <si>
    <t>155 - Op Guardião dos Campos - PAA 5ª DE (Cascavel-PR)</t>
  </si>
  <si>
    <t>156 - Op Sentinela (ELD IIQ - Angelina-SC)</t>
  </si>
  <si>
    <t>157 - Op Silva Paes - PAA 14º Bda Inf Mtz (Três Barras-SC)</t>
  </si>
  <si>
    <t>158 - Operação AÇO,</t>
  </si>
  <si>
    <t>159 - Operação Ágata,</t>
  </si>
  <si>
    <t>160 - Operação ARANDU,</t>
  </si>
  <si>
    <t>161 - Operação Azul Turquesa;</t>
  </si>
  <si>
    <t>162 - Operação Boina Preta (GU/G Cmdo Art/OMDS);</t>
  </si>
  <si>
    <t>163 - Operação Boina Verde (GU/G Cmdo Art/OMDS);</t>
  </si>
  <si>
    <t>164 - Operação Bormann - 5ª DE;</t>
  </si>
  <si>
    <t>165 - Operação Braçal;</t>
  </si>
  <si>
    <t>166 - Operação BRIGADEIRO GURJÃO,</t>
  </si>
  <si>
    <t>167 - Operação CADEADO;</t>
  </si>
  <si>
    <t>168 - Operação Campos Gerais,</t>
  </si>
  <si>
    <t>169 - Operação Capitão JOSÉ PESSOA,</t>
  </si>
  <si>
    <t>170 - Operação CATRIMANI I,</t>
  </si>
  <si>
    <t>171 - Operação Centurião,</t>
  </si>
  <si>
    <t>172 - Operação CHARRUA,</t>
  </si>
  <si>
    <t>173 - Operação Controle,</t>
  </si>
  <si>
    <t>174 - Operação CORE 25,</t>
  </si>
  <si>
    <t>175 - Operação COXILHA,</t>
  </si>
  <si>
    <t>176 - Operação de Ajuda Humanitária,</t>
  </si>
  <si>
    <t>177 - Operação de Faro com Cães de Guerrа,</t>
  </si>
  <si>
    <t>178 - Operação DIVISA SEGURA;</t>
  </si>
  <si>
    <t>179 - Operação Engenheiro de Aço - PAA 4° Gpt E,</t>
  </si>
  <si>
    <t>180 - Operação FOGO,</t>
  </si>
  <si>
    <t>181 - Operação FRONTEIRA SUL;</t>
  </si>
  <si>
    <t>182 - Operação FURACÃO;</t>
  </si>
  <si>
    <t>183 - Operação Gralha Azul;</t>
  </si>
  <si>
    <t>184 - Operação Guaíba,</t>
  </si>
  <si>
    <t>186 - Operação IBICUÍ,</t>
  </si>
  <si>
    <t>187 - Operação IMEMBUI,</t>
  </si>
  <si>
    <t>188 - Operação Itaipu,</t>
  </si>
  <si>
    <t>189 - Operação LANÇA DE OSÓRIO (SNAPAC);</t>
  </si>
  <si>
    <t>190 - Operação MANOTAÇO,</t>
  </si>
  <si>
    <t>191 - Operação MARTE;</t>
  </si>
  <si>
    <t>192 - Operação MENNA BARRETO,</t>
  </si>
  <si>
    <t>193 - Operação MINUANO;</t>
  </si>
  <si>
    <t>194 - Operação NIEDERAUER,</t>
  </si>
  <si>
    <t>195 - Operação PASSO DA PÁTRIA;</t>
  </si>
  <si>
    <t>196 - Operação Perseu,</t>
  </si>
  <si>
    <t>197 - Operação PROTEÇÃO,</t>
  </si>
  <si>
    <t>198 - Operação PUGNATUM,</t>
  </si>
  <si>
    <t>199 - Operação PUNHOS DE AÇO;</t>
  </si>
  <si>
    <t>200 - Operação Relâmpago Norte;</t>
  </si>
  <si>
    <t>201 - Operação Retomada,</t>
  </si>
  <si>
    <t>202 - Operação SAICĂ,</t>
  </si>
  <si>
    <t>203 - Operação SALOMÃO DA ROCHA,</t>
  </si>
  <si>
    <t>204 - Operação SETEMBRINO DE CARVALHO,</t>
  </si>
  <si>
    <t>205 - Operação Silva Paes:</t>
  </si>
  <si>
    <t>206 - Operação Sisson.- Operação Forja,</t>
  </si>
  <si>
    <t>207 - Operação Taquari.</t>
  </si>
  <si>
    <t>208 - Operação Vítoria,</t>
  </si>
  <si>
    <t>209 - PAB Pel (Angelina-SC)</t>
  </si>
  <si>
    <t>210 - PAB SU (Tubarão-SC)</t>
  </si>
  <si>
    <t>211 - Participação Competições Desportivas fora da sede,</t>
  </si>
  <si>
    <t>212 - Participação da Manobra Escolar da AMAN,</t>
  </si>
  <si>
    <t>213 - Participação da Manobra Escolar da EsSA/EsLog,</t>
  </si>
  <si>
    <t>214 - Participação em atividades de simpósios/seminários relativo a doutrina militar - fora da sede.</t>
  </si>
  <si>
    <t>215 - Participação em Concurso de Ordem Unida, fora de sua sede;</t>
  </si>
  <si>
    <t>216 - Participação em eventos culturais da Banda de Musica fora de sede.</t>
  </si>
  <si>
    <t>217 - Participação na Reunião de Comando do CMS,</t>
  </si>
  <si>
    <t>218 - participar de eventos da 3ª RM,</t>
  </si>
  <si>
    <t>219 - Passagem de Função de Adjunto de Comando,</t>
  </si>
  <si>
    <t>220 - Patrulha Patrimonial;</t>
  </si>
  <si>
    <t>221 - PCI NPOR (Blumenau-SC)</t>
  </si>
  <si>
    <t>222 - PCI NPOR (Tubarão-SC)</t>
  </si>
  <si>
    <t>223 - Pedido de Cooperação de Instrução (PCI), fora da sede,</t>
  </si>
  <si>
    <t>224 - Pedido de Cooperação de Instrução da Escola de Comando e Estado-Maior do Exército (ECEME) com GU da 5ª DE,</t>
  </si>
  <si>
    <t>225 - Perito Auditor do FUSEx,</t>
  </si>
  <si>
    <t>226 - Realizar a inspeção de Comando da Operação MANOTAÇO na Coudelaria de Rincão/CIR.</t>
  </si>
  <si>
    <t>227 - Reconhecimento da Operação ATLAS 2025;</t>
  </si>
  <si>
    <t>228 - Reconhecimento do Exercício Combinado Operação Paraná IV;</t>
  </si>
  <si>
    <t>229 - Reconhecimento do Exercício de Certificação FORPRON,</t>
  </si>
  <si>
    <t>230 - Reconhecimento operacional para simulação construtiva e viva - Exercício de Certificação - FORPRON;</t>
  </si>
  <si>
    <t>231 - Reunião de Comando (G Cmdo/GU/G Cmdo Art).</t>
  </si>
  <si>
    <t>232 - Reunião de Coordenação dos Oficiais de Operações do Comando Militar do Sul,</t>
  </si>
  <si>
    <t>233 - Reunião do Sistema de Fiscalização de Produtos Controlados da 5ª RM,</t>
  </si>
  <si>
    <t>234 - Reunião do Sistema de Inteligência da 5ª DE; - Tiro das Armas Coletivas das GU/GCmdo Art/OMDS;</t>
  </si>
  <si>
    <t>235 - Reunião dos Adjuntos de Comando,</t>
  </si>
  <si>
    <t>236 - Reunião setorial de Atualização, Instrução e Orientação de Curso Especializado no SEST/SENAT/SENAIΙ.</t>
  </si>
  <si>
    <t>237 - Segurança de Autoridades;</t>
  </si>
  <si>
    <t xml:space="preserve">238 - Seleção Complementar e Volante, Participação em Curso para Condutores de Viaturas de </t>
  </si>
  <si>
    <t>239 - Semana do Soldado, fora da sede,</t>
  </si>
  <si>
    <t>240 - Seminário de Apoio Logistico nas FT Bld,</t>
  </si>
  <si>
    <t>241 - Seminário de Direito Militar,</t>
  </si>
  <si>
    <t>242 - Simpósio de Aj Humanitária Ap. Def Civil;</t>
  </si>
  <si>
    <t>243 - Simulador de Apoio de Fogo (SIMAF),</t>
  </si>
  <si>
    <t>244 - Solenidade Alusiva ao Cerco da Lapa,</t>
  </si>
  <si>
    <t>245 - Solenidade Cívico Militar,</t>
  </si>
  <si>
    <t>246 - Solenidade de Celebração de Aniversário de G Cmdo/GU/OM - fora da sede,</t>
  </si>
  <si>
    <t>247 - Solenidade de Comemoração do dia das Armas/Quadros/Serviços/Patrono das Armas - fora da sede;</t>
  </si>
  <si>
    <t>248 - Solenidade de Passagem de Comando de G Cmdo/GU/OM - fora da sede:</t>
  </si>
  <si>
    <t>249 - Solenidade de Passagem de Comando, fora da sede, - Visita institucional ao Comando de Policiamento Ostensivo.</t>
  </si>
  <si>
    <t>250 - Solenidade Regional Alusiva ao Patrono da Arma de Infantaria (SRAPAI),</t>
  </si>
  <si>
    <t>251 - Solenidades Alusivas aos dias de Armas/Quadros/Serviços/Patronos de Armas, fora da sede.</t>
  </si>
  <si>
    <t>252 - Tiro de Morteiro no CIMH, em Três Barras/SC das GU/GCmdo Art/OMDS;</t>
  </si>
  <si>
    <t>253 - Transporte de material entre as OMDS e seus respectivos OP,</t>
  </si>
  <si>
    <t>254 - Transporte de Pessoal e Material.</t>
  </si>
  <si>
    <t>255 - Viagem de apoio veterinário em localidades, fora da sede,</t>
  </si>
  <si>
    <t>256 - Visita de Comando do Cmdo 5ª DE,</t>
  </si>
  <si>
    <t>257 - Visita de Comando G Cmdo/GU;</t>
  </si>
  <si>
    <t>258 - Workshop Gestão da Frota:</t>
  </si>
  <si>
    <t>IDA</t>
  </si>
  <si>
    <t>Deslocou-se  de Brasília/DF para Recife/PE, em 16 MAI 25 (Ida)</t>
  </si>
  <si>
    <t>Atividade: Realizar Exercício de Longa Duração do Curso Básico de Inteligência para Sargentos 2025</t>
  </si>
  <si>
    <t>Militares:</t>
  </si>
  <si>
    <t>2º SGT CARLOS GARCIA JUNIOR</t>
  </si>
  <si>
    <t>Outras informações julgadas necessárias pela OM  para melhor detalhar a missão</t>
  </si>
  <si>
    <t>RETORNO</t>
  </si>
  <si>
    <t>Deslocou-se  de Recife/PE para Brasília/DF, em 24 MAI 25 (Ida)</t>
  </si>
  <si>
    <t>Atividade: Retornar do Exercício de Longa Duração do Curso Básico de Inteligência para Sargentos 2025</t>
  </si>
  <si>
    <t>Outras informações julgadas necessárias pela OM para melhor detalhar a missão</t>
  </si>
  <si>
    <t>QSGR</t>
  </si>
  <si>
    <t>LINK</t>
  </si>
  <si>
    <t>QSGR 01</t>
  </si>
  <si>
    <t>QSGR 02</t>
  </si>
  <si>
    <t>QSGR 03</t>
  </si>
  <si>
    <t>QSGR 04</t>
  </si>
  <si>
    <t>QSGR 05</t>
  </si>
  <si>
    <t>QSGR 06</t>
  </si>
  <si>
    <t>QSGR 07</t>
  </si>
  <si>
    <t>NÃO POSSUI</t>
  </si>
  <si>
    <t>QSGR 09</t>
  </si>
  <si>
    <t>QSGR 10</t>
  </si>
  <si>
    <t>QSGR 11</t>
  </si>
  <si>
    <t>QSGR 12</t>
  </si>
  <si>
    <t>QSGR 13</t>
  </si>
  <si>
    <t>QSGR 14</t>
  </si>
  <si>
    <t>QSGR 15</t>
  </si>
  <si>
    <t>QSGR 16</t>
  </si>
  <si>
    <t>QSGR 17</t>
  </si>
  <si>
    <t>QSGR 18</t>
  </si>
  <si>
    <t>QSGR 19</t>
  </si>
  <si>
    <t>QSGR 20</t>
  </si>
  <si>
    <t>QSGR 21</t>
  </si>
  <si>
    <t>QSGR 22</t>
  </si>
  <si>
    <t>QSGR 23</t>
  </si>
  <si>
    <t>QSGR 24</t>
  </si>
  <si>
    <t>QSGR 25</t>
  </si>
  <si>
    <t>QSGR Nr 26</t>
  </si>
  <si>
    <t>QSGR Nr 27</t>
  </si>
  <si>
    <t>QSGR Nr 28</t>
  </si>
  <si>
    <t>QSGR Nr 29</t>
  </si>
  <si>
    <t>QSGR Nr 30</t>
  </si>
  <si>
    <t>QSGR Nr 31</t>
  </si>
  <si>
    <t>QSGR Nr 32</t>
  </si>
  <si>
    <t>QSGR Nr 33</t>
  </si>
  <si>
    <t>QSGR Nr 34</t>
  </si>
  <si>
    <t>QSGR Nr 35</t>
  </si>
  <si>
    <t>QSGR Nr 36</t>
  </si>
  <si>
    <t>QSGR Nr 37</t>
  </si>
  <si>
    <t>QSGR Nr 38</t>
  </si>
  <si>
    <t>QSGR Nr 39</t>
  </si>
  <si>
    <t>QSGR Nr 40</t>
  </si>
  <si>
    <t>QSGR Nr 41</t>
  </si>
  <si>
    <t>QSGR Nr 42</t>
  </si>
  <si>
    <t>QSGR Nr 43</t>
  </si>
  <si>
    <t xml:space="preserve">1 - </t>
  </si>
  <si>
    <t>Adestramento Básico em Ambiente Virtual - CI Bld;</t>
  </si>
  <si>
    <t xml:space="preserve">2 - </t>
  </si>
  <si>
    <t>Adestramento de Corneteiro e Clarins fora da sede,tinuação do Aditamento Administrativo nº 04 ao Boletim do CMS nº 09, de 05 de Março 25)</t>
  </si>
  <si>
    <t xml:space="preserve">3 - </t>
  </si>
  <si>
    <t>Ap Def Civ - 14ª Bda Inf Mtz - Exc Ajuda Humanitária</t>
  </si>
  <si>
    <t xml:space="preserve">4 - </t>
  </si>
  <si>
    <t>Apanha de Suprimento Classe I, II e V - fora da sede,</t>
  </si>
  <si>
    <t xml:space="preserve">5 - </t>
  </si>
  <si>
    <t>Apoio de Comunicações, na composição do CCOP da 3ª DE,</t>
  </si>
  <si>
    <t xml:space="preserve">6 - </t>
  </si>
  <si>
    <t>Apoio de Pessoal ao Setor de Aprovisionamento em formaturas e ou eventos realizados em localidades fora da sede.</t>
  </si>
  <si>
    <t xml:space="preserve">7 - </t>
  </si>
  <si>
    <t>Apoio de Polícia do Exército - Segurança de Autoridade / Instalações/Emprego de cães (faro);</t>
  </si>
  <si>
    <t xml:space="preserve">8 - </t>
  </si>
  <si>
    <t>Apoio de saúde em Ação Civico-Social, em Pericia Contábil, em Pericia Judicial, como Assistente Técnico da União em Pericia Judicial e como</t>
  </si>
  <si>
    <t xml:space="preserve">9 - </t>
  </si>
  <si>
    <t>Apoio Direto de Comunicação Social e Cobertura Midiática fora da sede,</t>
  </si>
  <si>
    <t xml:space="preserve">10 - </t>
  </si>
  <si>
    <t>Apoio Direto de Manutenção Logística;</t>
  </si>
  <si>
    <t xml:space="preserve">11 - </t>
  </si>
  <si>
    <t>Apoio Direto de Serviço de Engenharia fora da sede;</t>
  </si>
  <si>
    <t xml:space="preserve">12 - </t>
  </si>
  <si>
    <t>Apoio Direto de Transporte de Material por rodovias para fora da sede,</t>
  </si>
  <si>
    <t xml:space="preserve">13 - </t>
  </si>
  <si>
    <t>Apoio Direto de Transporte de Pessoal por rodovias para fora da sede,</t>
  </si>
  <si>
    <t xml:space="preserve">14 - </t>
  </si>
  <si>
    <t>Apoio Direto em Diligências (IPM/Sindicâncias) fora da sede;</t>
  </si>
  <si>
    <t xml:space="preserve">15 - </t>
  </si>
  <si>
    <t>Apoio e Serviços de Engenharia, fora da sede</t>
  </si>
  <si>
    <t xml:space="preserve">16 - </t>
  </si>
  <si>
    <t>Apoio logístico de transporte de pessoal, fora da sede da OM;</t>
  </si>
  <si>
    <t xml:space="preserve">17 - </t>
  </si>
  <si>
    <t>Apoio logístico no transporte de material de emprego militar, fora do quartel-general da OM, -</t>
  </si>
  <si>
    <t xml:space="preserve">18 - </t>
  </si>
  <si>
    <t>Apoio médico veterinário em temporadas hípicas;</t>
  </si>
  <si>
    <t xml:space="preserve">19 - </t>
  </si>
  <si>
    <t>Apoio na realização de Exames Psicológicos dos candidatos ao Curso de Formação e Graduação de Sargentos do Exército (CFGS 2024/2025),</t>
  </si>
  <si>
    <t xml:space="preserve">20 - </t>
  </si>
  <si>
    <t>Atividade Administrativa de Emissão de Certificado Digital;</t>
  </si>
  <si>
    <t xml:space="preserve">21 - </t>
  </si>
  <si>
    <t>Atividade de Acompanhamento da Preparação (fase 1) - FORPRON;</t>
  </si>
  <si>
    <t xml:space="preserve">22 - </t>
  </si>
  <si>
    <t>Atividade de Apoio ao Adestramento e Apoio a Certificação,</t>
  </si>
  <si>
    <t xml:space="preserve">23 - </t>
  </si>
  <si>
    <t>Atividade de Assistência Social;</t>
  </si>
  <si>
    <t xml:space="preserve">24 - </t>
  </si>
  <si>
    <t>Atividade de Campanha do Curso de Formação de Cabos (CFC);</t>
  </si>
  <si>
    <t xml:space="preserve">25 - </t>
  </si>
  <si>
    <t>Atividade de Campanha do Estágio Básico de Oficial Técnico Temporário (EBOT);</t>
  </si>
  <si>
    <t xml:space="preserve">26 - </t>
  </si>
  <si>
    <t>Atividade de Campanha do Estágio Básico de Sargento Temporário (EBST);</t>
  </si>
  <si>
    <t xml:space="preserve">27 - </t>
  </si>
  <si>
    <t>Atividade de Campanha do NPOR,</t>
  </si>
  <si>
    <t xml:space="preserve">28 - </t>
  </si>
  <si>
    <t>Atividade de Diligências de PE, fora da sede;</t>
  </si>
  <si>
    <t xml:space="preserve">29 - </t>
  </si>
  <si>
    <t>Atividade de Escolta em Motocicletas PE nas Visitas de Autoridades - fora da sede, - Atividade de Troca de Motocicletas PE entre as OMPE - fora da sede,</t>
  </si>
  <si>
    <t xml:space="preserve">30 - </t>
  </si>
  <si>
    <t>Atividade Relacionada com Apresentação Institucional da Banda de Música fora da sede;</t>
  </si>
  <si>
    <t xml:space="preserve">31 - </t>
  </si>
  <si>
    <t>Atividade Relacionada com Comissão de Seleção Complementar fora da sede,</t>
  </si>
  <si>
    <t xml:space="preserve">32 - </t>
  </si>
  <si>
    <t>Atividade Relacionada com Inspeção de Saúde de militares em OMSau fora da sede;</t>
  </si>
  <si>
    <t xml:space="preserve">33 - </t>
  </si>
  <si>
    <t>Atividades da Comissão de Seleção fora da Sede;</t>
  </si>
  <si>
    <t xml:space="preserve">34 - </t>
  </si>
  <si>
    <t>Atividades da Semana da Pátria,</t>
  </si>
  <si>
    <t xml:space="preserve">35 - </t>
  </si>
  <si>
    <t>Atividades de Operações de Informação - fora da sede,</t>
  </si>
  <si>
    <t xml:space="preserve">36 - </t>
  </si>
  <si>
    <t>Atividades de Operações de Inteligência - fora da sede;</t>
  </si>
  <si>
    <t xml:space="preserve">37 - </t>
  </si>
  <si>
    <t>Atividades de Preparação para a Certificação da FORPORN,</t>
  </si>
  <si>
    <t xml:space="preserve">38 - </t>
  </si>
  <si>
    <t>Atividades de VOT Gestão Ambiental;</t>
  </si>
  <si>
    <t xml:space="preserve">39 - </t>
  </si>
  <si>
    <t>Atividades Desportivas, fora da sede;</t>
  </si>
  <si>
    <t xml:space="preserve">40 - </t>
  </si>
  <si>
    <t>Atividades envolvidas na Instrução Individual Basica,</t>
  </si>
  <si>
    <t xml:space="preserve">41 - </t>
  </si>
  <si>
    <t>Atividades relacionadas ao Exercício de Simulação Viva (CA - Sul);</t>
  </si>
  <si>
    <t xml:space="preserve">42 - </t>
  </si>
  <si>
    <t>Atividades Religiosas no Âmbito da 5ª DE (SAREx);</t>
  </si>
  <si>
    <t xml:space="preserve">43 - </t>
  </si>
  <si>
    <t>BOMBEIROS NPOR (Angelina-SC)</t>
  </si>
  <si>
    <t xml:space="preserve">44 - </t>
  </si>
  <si>
    <t>Capacitação de Operador do Polígono de Tiro do CIMH,</t>
  </si>
  <si>
    <t xml:space="preserve">45 - </t>
  </si>
  <si>
    <t>Capacitação em Com Soc e RI-5ª DE.</t>
  </si>
  <si>
    <t xml:space="preserve">46 - </t>
  </si>
  <si>
    <t>Capacitação em Georreferenciamento, -</t>
  </si>
  <si>
    <t xml:space="preserve">47 - </t>
  </si>
  <si>
    <t>Capacitação em Inteligência - 5ª DE,</t>
  </si>
  <si>
    <t xml:space="preserve">48 - </t>
  </si>
  <si>
    <t>Capacitação em Manutenção Classe II, V, VI e IX no Blog orgânico da GU,</t>
  </si>
  <si>
    <t xml:space="preserve">49 - </t>
  </si>
  <si>
    <t>Capacitação Técnica e Tática do Efetivo Profissional de OF/Sgt - fora da sede,</t>
  </si>
  <si>
    <t xml:space="preserve">50 - </t>
  </si>
  <si>
    <t>Cerimônia Nacional do Cerco da Lapa,</t>
  </si>
  <si>
    <t xml:space="preserve">51 - </t>
  </si>
  <si>
    <t>Certificação FORPRON Geral,</t>
  </si>
  <si>
    <t xml:space="preserve">52 - </t>
  </si>
  <si>
    <t>Certificação Simulação Construtiva e Viva 15ª Bda Inf Mec e 5ª Bda C Bld,</t>
  </si>
  <si>
    <t xml:space="preserve">53 - </t>
  </si>
  <si>
    <t>Comando e Passagem do Cargo de Adjunto de Comando, Atividades de Representação em Solenidades de Conclusão de Cursos de Aperfeiçoamento,</t>
  </si>
  <si>
    <t xml:space="preserve">54 - </t>
  </si>
  <si>
    <t>Competição de Grupo de Combate Motorizado do CMS (GC Mtz);</t>
  </si>
  <si>
    <t xml:space="preserve">55 - </t>
  </si>
  <si>
    <t>Competição de Guarnição de Blindado da 6ª Bda Inf Bld, fora da sede,</t>
  </si>
  <si>
    <t xml:space="preserve">56 - </t>
  </si>
  <si>
    <t>Competições Desportivas fora da sede,</t>
  </si>
  <si>
    <t xml:space="preserve">57 - </t>
  </si>
  <si>
    <t>Concurso de Ordem Unida - fora da sede,</t>
  </si>
  <si>
    <t xml:space="preserve">58 - </t>
  </si>
  <si>
    <t>Curso de Formação de Motorista Categoria C, D e E;</t>
  </si>
  <si>
    <t xml:space="preserve">59 - </t>
  </si>
  <si>
    <t>Curso de Operador de Equipamento SARP,</t>
  </si>
  <si>
    <t xml:space="preserve">60 - </t>
  </si>
  <si>
    <t>Deslocamento de militares para participar de Reuniões Setoriais;</t>
  </si>
  <si>
    <t xml:space="preserve">61 - </t>
  </si>
  <si>
    <t xml:space="preserve">Deslocamento dos Comandantes, Chefes e Diretores à guarnição de Porto Alegre para </t>
  </si>
  <si>
    <t xml:space="preserve">62 - </t>
  </si>
  <si>
    <t>Deslocamento operacional/administrativo/apoio logistico e transporte de blindados.</t>
  </si>
  <si>
    <t xml:space="preserve">63 - </t>
  </si>
  <si>
    <t>Dia da Conquista de ForNovo, fora da cadeira.</t>
  </si>
  <si>
    <t xml:space="preserve">64 - </t>
  </si>
  <si>
    <t>Dia da Vitória, fora da sede:</t>
  </si>
  <si>
    <t xml:space="preserve">65 - </t>
  </si>
  <si>
    <t>Dia do Exército, fora da sede,</t>
  </si>
  <si>
    <t xml:space="preserve">66 - </t>
  </si>
  <si>
    <t>Dia do Expedicionário, fora da sede;</t>
  </si>
  <si>
    <t xml:space="preserve">67 - </t>
  </si>
  <si>
    <t>ELD NPOR (Tubarão-SC)</t>
  </si>
  <si>
    <t xml:space="preserve">68 - </t>
  </si>
  <si>
    <t>Emergência de Localidades, fora da sede.</t>
  </si>
  <si>
    <t xml:space="preserve">69 - </t>
  </si>
  <si>
    <t>Estágio APHT,</t>
  </si>
  <si>
    <t xml:space="preserve">70 - </t>
  </si>
  <si>
    <t>Estágio de Área de Adestramento e Emprego de Cães de Guerra,</t>
  </si>
  <si>
    <t xml:space="preserve">71 - </t>
  </si>
  <si>
    <t>Estágio de Área de APH Tático;</t>
  </si>
  <si>
    <t xml:space="preserve">72 - </t>
  </si>
  <si>
    <t>Estágio de Área de Atendimento Pré-Hospitalar Tático (nível III),</t>
  </si>
  <si>
    <t xml:space="preserve">73 - </t>
  </si>
  <si>
    <t>Estágio de Área de Batedor e Motociclista Militar,</t>
  </si>
  <si>
    <t xml:space="preserve">74 - </t>
  </si>
  <si>
    <t>Estágio de Área de Caçador</t>
  </si>
  <si>
    <t xml:space="preserve">75 - </t>
  </si>
  <si>
    <t>Estágio de Área de Caçador de Corpo de Tropa;</t>
  </si>
  <si>
    <t xml:space="preserve">76 - </t>
  </si>
  <si>
    <t>Estágio de Área de Caçador,</t>
  </si>
  <si>
    <t xml:space="preserve">77 - </t>
  </si>
  <si>
    <t>Estágio de Área de Combate Corpo a Corpo,</t>
  </si>
  <si>
    <t xml:space="preserve">78 - </t>
  </si>
  <si>
    <t>Estágio de Área de Ferradoria;</t>
  </si>
  <si>
    <t xml:space="preserve">79 - </t>
  </si>
  <si>
    <t>Estágio de Área de Gerenciamento de Frota Blindada;</t>
  </si>
  <si>
    <t xml:space="preserve">80 - </t>
  </si>
  <si>
    <t>Estágio de Área de Instrutor de Operações com Explosivos e Empaiolamento;</t>
  </si>
  <si>
    <t xml:space="preserve">81 - </t>
  </si>
  <si>
    <t>Estágio de Área de Inteligência Militar,</t>
  </si>
  <si>
    <t xml:space="preserve">82 - </t>
  </si>
  <si>
    <t>Estágio de Área de Morteiro Pesado;</t>
  </si>
  <si>
    <t xml:space="preserve">83 - </t>
  </si>
  <si>
    <t>Estágio de Área de Motociclista Militar,</t>
  </si>
  <si>
    <t xml:space="preserve">84 - </t>
  </si>
  <si>
    <t>Estágio de Área de Op Explosivos 2ª Turno</t>
  </si>
  <si>
    <t xml:space="preserve">85 - </t>
  </si>
  <si>
    <t>Estágio de Área de Operação da VBC OAP M109,</t>
  </si>
  <si>
    <t xml:space="preserve">86 - </t>
  </si>
  <si>
    <t>Estagio de Área de Operação de Informação,</t>
  </si>
  <si>
    <t xml:space="preserve">87 - </t>
  </si>
  <si>
    <t>Estágio de Área de Operação e Manutenção de Geradores, fora da sede,</t>
  </si>
  <si>
    <t xml:space="preserve">88 - </t>
  </si>
  <si>
    <t>Estágio de Área de Operação Explosivos 1º e 2º Turno,</t>
  </si>
  <si>
    <t xml:space="preserve">89 - </t>
  </si>
  <si>
    <t>Estágio de Área de Operações com Explosivos;</t>
  </si>
  <si>
    <t xml:space="preserve">90 - </t>
  </si>
  <si>
    <t>Estágio de Área de Operador dos Rádios Harris,</t>
  </si>
  <si>
    <t xml:space="preserve">91 - </t>
  </si>
  <si>
    <t>Estágio de Área de Prevenção de Acidentes com Motocicleta,</t>
  </si>
  <si>
    <t xml:space="preserve">92 - </t>
  </si>
  <si>
    <t>Estágio de Área de Segurança de Autoridade (SA).</t>
  </si>
  <si>
    <t xml:space="preserve">93 - </t>
  </si>
  <si>
    <t>Estágio de Área de Segurança e Proteção de Autoridade,</t>
  </si>
  <si>
    <t xml:space="preserve">94 - </t>
  </si>
  <si>
    <t>Estágio de Área de Técnicas, Táticas e Procedimentos para Operações Urbanas;</t>
  </si>
  <si>
    <t xml:space="preserve">95 - </t>
  </si>
  <si>
    <t>Estágio de Área de TTP para Op Ter e Flu na Fx Fron</t>
  </si>
  <si>
    <t xml:space="preserve">96 - </t>
  </si>
  <si>
    <t>Estágio de Área de TTP para Operações Terrestres e Fluviais na Faixa da Fronteira,</t>
  </si>
  <si>
    <t xml:space="preserve">97 - </t>
  </si>
  <si>
    <t>Estágio de Área de TTP para Operações Urbanas</t>
  </si>
  <si>
    <t xml:space="preserve">98 - </t>
  </si>
  <si>
    <t>Estagio de Área de TTP para Operações Urbanas.</t>
  </si>
  <si>
    <t xml:space="preserve">99 - </t>
  </si>
  <si>
    <t>Estágio de ARRAS - 15° Bda Inf Mec;</t>
  </si>
  <si>
    <t xml:space="preserve">100 - </t>
  </si>
  <si>
    <t>Estágio de Caatinga para OCA,</t>
  </si>
  <si>
    <t xml:space="preserve">101 - </t>
  </si>
  <si>
    <t>Estágio de Capacitação do Site Tático SRDT (apoio do 9º B Com GE);</t>
  </si>
  <si>
    <t xml:space="preserve">102 - </t>
  </si>
  <si>
    <t>Estágio de Habilitação de Identificador de Corpo de Tropa;</t>
  </si>
  <si>
    <t xml:space="preserve">103 - </t>
  </si>
  <si>
    <t>Estágio de Planejamento de Exercícios com apoio da Simulação de Combate,</t>
  </si>
  <si>
    <t xml:space="preserve">104 - </t>
  </si>
  <si>
    <t>Estágio de Prevenção de Acidentes com Motocicletas - EPAM, fora da sede,</t>
  </si>
  <si>
    <t xml:space="preserve">105 - </t>
  </si>
  <si>
    <t>Estágio de Reconhecimento e Vigilância de Inteligência, no 6º BIM;</t>
  </si>
  <si>
    <t xml:space="preserve">106 - </t>
  </si>
  <si>
    <t>Estágio do Sistema de Aeronaves Remotamente Pilotada, no 6º BIM,</t>
  </si>
  <si>
    <t xml:space="preserve">107 - </t>
  </si>
  <si>
    <t>Estágio Preparatório de Corpo de Tropa;</t>
  </si>
  <si>
    <t xml:space="preserve">108 - </t>
  </si>
  <si>
    <t>Estágio Setorial de OCA-COTER;</t>
  </si>
  <si>
    <t xml:space="preserve">109 - </t>
  </si>
  <si>
    <t>Evacuações médicas de pacientes ao HMAPA, HGSM e HGuA,</t>
  </si>
  <si>
    <t xml:space="preserve">110 - </t>
  </si>
  <si>
    <t>Eventos Oficiais de passagem de Comando e Aniversário de G Cmdo, GU e OM;</t>
  </si>
  <si>
    <t xml:space="preserve">111 - </t>
  </si>
  <si>
    <t>Exercício Araucária;</t>
  </si>
  <si>
    <t xml:space="preserve">112 - </t>
  </si>
  <si>
    <t>Exercício Cavalo de Troia,</t>
  </si>
  <si>
    <t xml:space="preserve">113 - </t>
  </si>
  <si>
    <t>Exercício Colimação – ForPron,</t>
  </si>
  <si>
    <t xml:space="preserve">114 - </t>
  </si>
  <si>
    <t>Exercício Combinado Paraná IV;</t>
  </si>
  <si>
    <t xml:space="preserve">115 - </t>
  </si>
  <si>
    <t>Exercício Conjunto Operação ATLAS 2025,</t>
  </si>
  <si>
    <t xml:space="preserve">116 - </t>
  </si>
  <si>
    <t>Exercício de Adestramento com Simulação Construtiva,</t>
  </si>
  <si>
    <t xml:space="preserve">117 - </t>
  </si>
  <si>
    <t>Exercício de Adestramento com Simulação Viva Certificação da FORPRON,</t>
  </si>
  <si>
    <t xml:space="preserve">118 - </t>
  </si>
  <si>
    <t>Exercício de Adestramento da Artilharia Antiaérea - Exercício SAGITTA PRIMUS SAICĂ,</t>
  </si>
  <si>
    <t xml:space="preserve">119 - </t>
  </si>
  <si>
    <t>Exercício de Campanha Adestramento Reserva e Mobilização,</t>
  </si>
  <si>
    <t xml:space="preserve">120 - </t>
  </si>
  <si>
    <t>Exercício de Defesa Civil,</t>
  </si>
  <si>
    <t xml:space="preserve">121 - </t>
  </si>
  <si>
    <t>Exercício de Formação Observador e Controladores do Adestramento (OCA) - GU/G Cmdo Art,</t>
  </si>
  <si>
    <t xml:space="preserve">122 - </t>
  </si>
  <si>
    <t>Exercício de PO - 5ª DE;</t>
  </si>
  <si>
    <t xml:space="preserve">123 - </t>
  </si>
  <si>
    <t>Exercício de Posto de Comando com apoio de Simulação Construtiva,</t>
  </si>
  <si>
    <t xml:space="preserve">124 - </t>
  </si>
  <si>
    <t>Exercício Escudo Antiaéreo,</t>
  </si>
  <si>
    <t xml:space="preserve">125 - </t>
  </si>
  <si>
    <t>Exercício Guardião dos Campos,</t>
  </si>
  <si>
    <t xml:space="preserve">126 - </t>
  </si>
  <si>
    <t>Exercício no Terreno com execução de Tiro Real - Preparação CORE 25,</t>
  </si>
  <si>
    <t xml:space="preserve">127 - </t>
  </si>
  <si>
    <t>Exercício Operação BRIGADEIRO GURJÃO.</t>
  </si>
  <si>
    <t xml:space="preserve">128 - </t>
  </si>
  <si>
    <t>Exercício Operação Trovão,</t>
  </si>
  <si>
    <t xml:space="preserve">129 - </t>
  </si>
  <si>
    <t>Exercício Pantanal (CMO),</t>
  </si>
  <si>
    <t xml:space="preserve">130 - </t>
  </si>
  <si>
    <t>Exercício Santa Bárbara (2ª DE);</t>
  </si>
  <si>
    <t xml:space="preserve">131 - </t>
  </si>
  <si>
    <t>Exercício Santa Bárbara do Oeste (CMO);</t>
  </si>
  <si>
    <t xml:space="preserve">132 - </t>
  </si>
  <si>
    <t>EXPOEX,</t>
  </si>
  <si>
    <t xml:space="preserve">133 - </t>
  </si>
  <si>
    <t>ExPOEx, na Guarnição de Porto Alegre - RS,</t>
  </si>
  <si>
    <t xml:space="preserve">134 - </t>
  </si>
  <si>
    <t>Exposição de Blindados no Parque da Oktoberfest.</t>
  </si>
  <si>
    <t xml:space="preserve">135 - </t>
  </si>
  <si>
    <t>Exposição do Exército (EXPOEX);</t>
  </si>
  <si>
    <t xml:space="preserve">136 - </t>
  </si>
  <si>
    <t>Inspeção Anual de Munição do Exército (IAMEx);</t>
  </si>
  <si>
    <t xml:space="preserve">137 - </t>
  </si>
  <si>
    <t>Inspeção Anual de Uniformes do Exército (IAUEx);</t>
  </si>
  <si>
    <t xml:space="preserve">138 - </t>
  </si>
  <si>
    <t>Inspeção de Comando;</t>
  </si>
  <si>
    <t xml:space="preserve">139 - </t>
  </si>
  <si>
    <t>Inspeção de Orientação Técnica,</t>
  </si>
  <si>
    <t xml:space="preserve">140 - </t>
  </si>
  <si>
    <t>Inspeção Logística;</t>
  </si>
  <si>
    <t xml:space="preserve">141 - </t>
  </si>
  <si>
    <t>Inspeção Logística/Administrativa - G Cmdo/GU - fora da sede;</t>
  </si>
  <si>
    <t xml:space="preserve">142 - </t>
  </si>
  <si>
    <t>Instrução de Cavalariça e Ferradoria,</t>
  </si>
  <si>
    <t xml:space="preserve">143 - </t>
  </si>
  <si>
    <t>Instrução de Nivelamento e Procedimentos de C2,</t>
  </si>
  <si>
    <t xml:space="preserve">144 - </t>
  </si>
  <si>
    <t>Instrução de Nivelamento e Procedimentos de Instrução de Blindados,</t>
  </si>
  <si>
    <t xml:space="preserve">145 - </t>
  </si>
  <si>
    <t>Instrução de Nivelamento e Procedimentos de Pel Mrt P das GU,</t>
  </si>
  <si>
    <t xml:space="preserve">146 - </t>
  </si>
  <si>
    <t>Instrução de Turma de Levantamento e Destruição de Fogos (TULEDEF);</t>
  </si>
  <si>
    <t xml:space="preserve">147 - </t>
  </si>
  <si>
    <t>Instrução Individual Básica - Campo da IIB - fora da sede;</t>
  </si>
  <si>
    <t xml:space="preserve">148 - </t>
  </si>
  <si>
    <t>Instrução Individual de Qualificação, fora da sede;</t>
  </si>
  <si>
    <t xml:space="preserve">149 - </t>
  </si>
  <si>
    <t>Instrução Individual de Requalificação e Nivelamento de Cb/Sd - fora da sede;</t>
  </si>
  <si>
    <t xml:space="preserve">150 - </t>
  </si>
  <si>
    <t>Instrução Técnica Sml MsI BIB/RCC conduzida pelo CTEX,</t>
  </si>
  <si>
    <t xml:space="preserve">151 - </t>
  </si>
  <si>
    <t>Jogos de Guerra - Operação FOGO,</t>
  </si>
  <si>
    <t xml:space="preserve">152 - </t>
  </si>
  <si>
    <t>Manobra Escolar da AMAN,</t>
  </si>
  <si>
    <t xml:space="preserve">153 - </t>
  </si>
  <si>
    <t>Missão de apoio de Saúde em localidades, fora da sede, - Apoio de saúde às Comissões de</t>
  </si>
  <si>
    <t xml:space="preserve">154 - </t>
  </si>
  <si>
    <t>OLIMBLIND para 5º Bda C Bld;</t>
  </si>
  <si>
    <t xml:space="preserve">155 - </t>
  </si>
  <si>
    <t>Op Guardião dos Campos - PAA 5ª DE (Cascavel-PR)</t>
  </si>
  <si>
    <t xml:space="preserve">156 - </t>
  </si>
  <si>
    <t>Op Sentinela (ELD IIQ - Angelina-SC)</t>
  </si>
  <si>
    <t xml:space="preserve">157 - </t>
  </si>
  <si>
    <t>Op Silva Paes - PAA 14º Bda Inf Mtz (Três Barras-SC)</t>
  </si>
  <si>
    <t xml:space="preserve">158 - </t>
  </si>
  <si>
    <t>Operação AÇO,</t>
  </si>
  <si>
    <t xml:space="preserve">159 - </t>
  </si>
  <si>
    <t>Operação Ágata,</t>
  </si>
  <si>
    <t xml:space="preserve">160 - </t>
  </si>
  <si>
    <t>Operação ARANDU,</t>
  </si>
  <si>
    <t xml:space="preserve">161 - </t>
  </si>
  <si>
    <t>Operação Azul Turquesa;</t>
  </si>
  <si>
    <t xml:space="preserve">162 - </t>
  </si>
  <si>
    <t>Operação Boina Preta (GU/G Cmdo Art/OMDS);</t>
  </si>
  <si>
    <t xml:space="preserve">163 - </t>
  </si>
  <si>
    <t>Operação Boina Verde (GU/G Cmdo Art/OMDS);</t>
  </si>
  <si>
    <t xml:space="preserve">164 - </t>
  </si>
  <si>
    <t>Operação Bormann - 5ª DE;</t>
  </si>
  <si>
    <t xml:space="preserve">165 - </t>
  </si>
  <si>
    <t>Operação Braçal;</t>
  </si>
  <si>
    <t xml:space="preserve">166 - </t>
  </si>
  <si>
    <t>Operação BRIGADEIRO GURJÃO,</t>
  </si>
  <si>
    <t xml:space="preserve">167 - </t>
  </si>
  <si>
    <t>Operação CADEADO;</t>
  </si>
  <si>
    <t xml:space="preserve">168 - </t>
  </si>
  <si>
    <t>Operação Campos Gerais,</t>
  </si>
  <si>
    <t xml:space="preserve">169 - </t>
  </si>
  <si>
    <t>Operação Capitão JOSÉ PESSOA,</t>
  </si>
  <si>
    <t xml:space="preserve">170 - </t>
  </si>
  <si>
    <t>Operação CATRIMANI I,</t>
  </si>
  <si>
    <t xml:space="preserve">171 - </t>
  </si>
  <si>
    <t>Operação Centurião,</t>
  </si>
  <si>
    <t xml:space="preserve">172 - </t>
  </si>
  <si>
    <t>Operação CHARRUA,</t>
  </si>
  <si>
    <t xml:space="preserve">173 - </t>
  </si>
  <si>
    <t>Operação Controle,</t>
  </si>
  <si>
    <t xml:space="preserve">174 - </t>
  </si>
  <si>
    <t>Operação CORE 25,</t>
  </si>
  <si>
    <t xml:space="preserve">175 - </t>
  </si>
  <si>
    <t>Operação COXILHA,</t>
  </si>
  <si>
    <t xml:space="preserve">176 - </t>
  </si>
  <si>
    <t>Operação de Ajuda Humanitária,</t>
  </si>
  <si>
    <t xml:space="preserve">177 - </t>
  </si>
  <si>
    <t>Operação de Faro com Cães de Guerrа,</t>
  </si>
  <si>
    <t xml:space="preserve">178 - </t>
  </si>
  <si>
    <t>Operação DIVISA SEGURA;</t>
  </si>
  <si>
    <t xml:space="preserve">179 - </t>
  </si>
  <si>
    <t>Operação Engenheiro de Aço - PAA 4° Gpt E,</t>
  </si>
  <si>
    <t xml:space="preserve">180 - </t>
  </si>
  <si>
    <t>Operação FOGO,</t>
  </si>
  <si>
    <t xml:space="preserve">181 - </t>
  </si>
  <si>
    <t>Operação FRONTEIRA SUL;</t>
  </si>
  <si>
    <t xml:space="preserve">182 - </t>
  </si>
  <si>
    <t>Operação FURACÃO;</t>
  </si>
  <si>
    <t xml:space="preserve">183 - </t>
  </si>
  <si>
    <t>Operação Gralha Azul;</t>
  </si>
  <si>
    <t xml:space="preserve">184 - </t>
  </si>
  <si>
    <t>Operação Guaíba,</t>
  </si>
  <si>
    <t xml:space="preserve">185 - </t>
  </si>
  <si>
    <t>Operação Hórus (Faixa de Fronteira).</t>
  </si>
  <si>
    <t xml:space="preserve">186 - </t>
  </si>
  <si>
    <t>Operação IBICUÍ,</t>
  </si>
  <si>
    <t xml:space="preserve">187 - </t>
  </si>
  <si>
    <t>Operação IMEMBUI,</t>
  </si>
  <si>
    <t xml:space="preserve">188 - </t>
  </si>
  <si>
    <t>Operação Itaipu,</t>
  </si>
  <si>
    <t xml:space="preserve">189 - </t>
  </si>
  <si>
    <t>Operação LANÇA DE OSÓRIO (SNAPAC);</t>
  </si>
  <si>
    <t xml:space="preserve">190 - </t>
  </si>
  <si>
    <t>Operação MANOTAÇO,</t>
  </si>
  <si>
    <t xml:space="preserve">191 - </t>
  </si>
  <si>
    <t>Operação MARTE;</t>
  </si>
  <si>
    <t xml:space="preserve">192 - </t>
  </si>
  <si>
    <t>Operação MENNA BARRETO,</t>
  </si>
  <si>
    <t xml:space="preserve">193 - </t>
  </si>
  <si>
    <t>Operação MINUANO;</t>
  </si>
  <si>
    <t xml:space="preserve">194 - </t>
  </si>
  <si>
    <t>Operação NIEDERAUER,</t>
  </si>
  <si>
    <t xml:space="preserve">195 - </t>
  </si>
  <si>
    <t>Operação PASSO DA PÁTRIA;</t>
  </si>
  <si>
    <t xml:space="preserve">196 - </t>
  </si>
  <si>
    <t>Operação Perseu,</t>
  </si>
  <si>
    <t xml:space="preserve">197 - </t>
  </si>
  <si>
    <t>Operação PROTEÇÃO,</t>
  </si>
  <si>
    <t xml:space="preserve">198 - </t>
  </si>
  <si>
    <t>Operação PUGNATUM,</t>
  </si>
  <si>
    <t xml:space="preserve">199 - </t>
  </si>
  <si>
    <t>Operação PUNHOS DE AÇO;</t>
  </si>
  <si>
    <t xml:space="preserve">200 - </t>
  </si>
  <si>
    <t>Operação Relâmpago Norte;</t>
  </si>
  <si>
    <t xml:space="preserve">201 - </t>
  </si>
  <si>
    <t>Operação Retomada,</t>
  </si>
  <si>
    <t xml:space="preserve">202 - </t>
  </si>
  <si>
    <t>Operação SAICĂ,</t>
  </si>
  <si>
    <t xml:space="preserve">203 - </t>
  </si>
  <si>
    <t>Operação SALOMÃO DA ROCHA,</t>
  </si>
  <si>
    <t xml:space="preserve">204 - </t>
  </si>
  <si>
    <t>Operação SETEMBRINO DE CARVALHO,</t>
  </si>
  <si>
    <t xml:space="preserve">205 - </t>
  </si>
  <si>
    <t>Operação Silva Paes:</t>
  </si>
  <si>
    <t xml:space="preserve">206 - </t>
  </si>
  <si>
    <t>Operação Sisson.- Operação Forja,</t>
  </si>
  <si>
    <t xml:space="preserve">207 - </t>
  </si>
  <si>
    <t>Operação Taquari.</t>
  </si>
  <si>
    <t xml:space="preserve">208 - </t>
  </si>
  <si>
    <t>Operação Vítoria,</t>
  </si>
  <si>
    <t xml:space="preserve">209 - </t>
  </si>
  <si>
    <t>PAB Pel (Angelina-SC)</t>
  </si>
  <si>
    <t xml:space="preserve">210 - </t>
  </si>
  <si>
    <t>PAB SU (Tubarão-SC)</t>
  </si>
  <si>
    <t xml:space="preserve">211 - </t>
  </si>
  <si>
    <t>Participação Competições Desportivas fora da sede,</t>
  </si>
  <si>
    <t xml:space="preserve">212 - </t>
  </si>
  <si>
    <t>Participação da Manobra Escolar da AMAN,</t>
  </si>
  <si>
    <t xml:space="preserve">213 - </t>
  </si>
  <si>
    <t>Participação da Manobra Escolar da EsSA/EsLog,</t>
  </si>
  <si>
    <t xml:space="preserve">214 - </t>
  </si>
  <si>
    <t>Participação em atividades de simpósios/seminários relativo a doutrina militar - fora da sede.</t>
  </si>
  <si>
    <t xml:space="preserve">215 - </t>
  </si>
  <si>
    <t>Participação em Concurso de Ordem Unida, fora de sua sede;</t>
  </si>
  <si>
    <t xml:space="preserve">216 - </t>
  </si>
  <si>
    <t>Participação em eventos culturais da Banda de Musica fora de sede.</t>
  </si>
  <si>
    <t xml:space="preserve">217 - </t>
  </si>
  <si>
    <t>Participação na Reunião de Comando do CMS,</t>
  </si>
  <si>
    <t xml:space="preserve">218 - </t>
  </si>
  <si>
    <t>participar de eventos da 3ª RM,</t>
  </si>
  <si>
    <t xml:space="preserve">219 - </t>
  </si>
  <si>
    <t>Passagem de Função de Adjunto de Comando,</t>
  </si>
  <si>
    <t xml:space="preserve">220 - </t>
  </si>
  <si>
    <t>Patrulha Patrimonial;</t>
  </si>
  <si>
    <t xml:space="preserve">221 - </t>
  </si>
  <si>
    <t>PCI NPOR (Blumenau-SC)</t>
  </si>
  <si>
    <t xml:space="preserve">222 - </t>
  </si>
  <si>
    <t>PCI NPOR (Tubarão-SC)</t>
  </si>
  <si>
    <t xml:space="preserve">223 - </t>
  </si>
  <si>
    <t>Pedido de Cooperação de Instrução (PCI), fora da sede,</t>
  </si>
  <si>
    <t xml:space="preserve">224 - </t>
  </si>
  <si>
    <t>Pedido de Cooperação de Instrução da Escola de Comando e Estado-Maior do Exército (ECEME) com GU da 5ª DE,</t>
  </si>
  <si>
    <t xml:space="preserve">225 - </t>
  </si>
  <si>
    <t>Perito Auditor do FUSEx,</t>
  </si>
  <si>
    <t xml:space="preserve">226 - </t>
  </si>
  <si>
    <t>Realizar a inspeção de Comando da Operação MANOTAÇO na Coudelaria de Rincão/CIR.</t>
  </si>
  <si>
    <t xml:space="preserve">227 - </t>
  </si>
  <si>
    <t>Reconhecimento da Operação ATLAS 2025;</t>
  </si>
  <si>
    <t xml:space="preserve">228 - </t>
  </si>
  <si>
    <t>Reconhecimento do Exercício Combinado Operação Paraná IV;</t>
  </si>
  <si>
    <t xml:space="preserve">229 - </t>
  </si>
  <si>
    <t>Reconhecimento do Exercício de Certificação FORPRON,</t>
  </si>
  <si>
    <t xml:space="preserve">230 - </t>
  </si>
  <si>
    <t>Reconhecimento operacional para simulação construtiva e viva - Exercício de Certificação - FORPRON;</t>
  </si>
  <si>
    <t xml:space="preserve">231 - </t>
  </si>
  <si>
    <t>Reunião de Comando (G Cmdo/GU/G Cmdo Art).</t>
  </si>
  <si>
    <t xml:space="preserve">232 - </t>
  </si>
  <si>
    <t>Reunião de Coordenação dos Oficiais de Operações do Comando Militar do Sul,</t>
  </si>
  <si>
    <t xml:space="preserve">233 - </t>
  </si>
  <si>
    <t>Reunião do Sistema de Fiscalização de Produtos Controlados da 5ª RM,</t>
  </si>
  <si>
    <t xml:space="preserve">234 - </t>
  </si>
  <si>
    <t>Reunião do Sistema de Inteligência da 5ª DE; - Tiro das Armas Coletivas das GU/GCmdo Art/OMDS;</t>
  </si>
  <si>
    <t xml:space="preserve">235 - </t>
  </si>
  <si>
    <t>Reunião dos Adjuntos de Comando,</t>
  </si>
  <si>
    <t xml:space="preserve">236 - </t>
  </si>
  <si>
    <t>Reunião setorial de Atualização, Instrução e Orientação de Curso Especializado no SEST/SENAT/SENAIΙ.</t>
  </si>
  <si>
    <t xml:space="preserve">237 - </t>
  </si>
  <si>
    <t>Segurança de Autoridades;</t>
  </si>
  <si>
    <t xml:space="preserve">238 - </t>
  </si>
  <si>
    <t xml:space="preserve">Seleção Complementar e Volante, Participação em Curso para Condutores de Viaturas de </t>
  </si>
  <si>
    <t xml:space="preserve">239 - </t>
  </si>
  <si>
    <t>Semana do Soldado, fora da sede,</t>
  </si>
  <si>
    <t xml:space="preserve">240 - </t>
  </si>
  <si>
    <t>Seminário de Apoio Logistico nas FT Bld,</t>
  </si>
  <si>
    <t xml:space="preserve">241 - </t>
  </si>
  <si>
    <t>Seminário de Direito Militar,</t>
  </si>
  <si>
    <t xml:space="preserve">242 - </t>
  </si>
  <si>
    <t>Simpósio de Aj Humanitária Ap. Def Civil;</t>
  </si>
  <si>
    <t xml:space="preserve">243 - </t>
  </si>
  <si>
    <t>Simulador de Apoio de Fogo (SIMAF),</t>
  </si>
  <si>
    <t xml:space="preserve">244 - </t>
  </si>
  <si>
    <t>Solenidade Alusiva ao Cerco da Lapa,</t>
  </si>
  <si>
    <t xml:space="preserve">245 - </t>
  </si>
  <si>
    <t>Solenidade Cívico Militar,</t>
  </si>
  <si>
    <t xml:space="preserve">246 - </t>
  </si>
  <si>
    <t>Solenidade de Celebração de Aniversário de G Cmdo/GU/OM - fora da sede,</t>
  </si>
  <si>
    <t xml:space="preserve">247 - </t>
  </si>
  <si>
    <t>Solenidade de Comemoração do dia das Armas/Quadros/Serviços/Patrono das Armas - fora da sede;</t>
  </si>
  <si>
    <t xml:space="preserve">248 - </t>
  </si>
  <si>
    <t>Solenidade de Passagem de Comando de G Cmdo/GU/OM - fora da sede:</t>
  </si>
  <si>
    <t xml:space="preserve">249 - </t>
  </si>
  <si>
    <t>Solenidade de Passagem de Comando, fora da sede, - Visita institucional ao Comando de Policiamento Ostensivo.</t>
  </si>
  <si>
    <t xml:space="preserve">250 - </t>
  </si>
  <si>
    <t>Solenidade Regional Alusiva ao Patrono da Arma de Infantaria (SRAPAI),</t>
  </si>
  <si>
    <t xml:space="preserve">251 - </t>
  </si>
  <si>
    <t>Solenidades Alusivas aos dias de Armas/Quadros/Serviços/Patronos de Armas, fora da sede.</t>
  </si>
  <si>
    <t xml:space="preserve">252 - </t>
  </si>
  <si>
    <t>Tiro de Morteiro no CIMH, em Três Barras/SC das GU/GCmdo Art/OMDS;</t>
  </si>
  <si>
    <t xml:space="preserve">253 - </t>
  </si>
  <si>
    <t>Transporte de material entre as OMDS e seus respectivos OP,</t>
  </si>
  <si>
    <t xml:space="preserve">254 - </t>
  </si>
  <si>
    <t>Transporte de Pessoal e Material.</t>
  </si>
  <si>
    <t xml:space="preserve">255 - </t>
  </si>
  <si>
    <t>Viagem de apoio veterinário em localidades, fora da sede,</t>
  </si>
  <si>
    <t xml:space="preserve">256 - </t>
  </si>
  <si>
    <t>Visita de Comando do Cmdo 5ª DE,</t>
  </si>
  <si>
    <t xml:space="preserve">257 - </t>
  </si>
  <si>
    <t>Visita de Comando G Cmdo/GU;</t>
  </si>
  <si>
    <t xml:space="preserve">258 - </t>
  </si>
  <si>
    <t>Workshop Gestão da Frota: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</si>
</sst>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R$-416]\ #,##0.00;[Red]\-[$R$-416]\ #,##0.00"/>
    <numFmt numFmtId="165" formatCode="[$-F800]dddd&quot;, &quot;mmmm\ dd&quot;, &quot;yyyy"/>
    <numFmt numFmtId="166" formatCode="[$-F400]h:mm:ss\ AM/PM"/>
    <numFmt numFmtId="167" formatCode="_-&quot;R$ &quot;* #,##0.00_-;&quot;-R$ &quot;* #,##0.00_-;_-&quot;R$ &quot;* \-??_-;_-@_-"/>
  </numFmts>
  <fonts count="20">
    <font>
      <sz val="11"/>
      <color rgb="FF000000"/>
      <name val="Calibri"/>
      <charset val="1"/>
    </font>
    <font>
      <sz val="11"/>
      <color rgb="FF000000"/>
      <name val="Times New Roman"/>
      <family val="1"/>
      <charset val="1"/>
    </font>
    <font>
      <b/>
      <sz val="14"/>
      <color rgb="FF000000"/>
      <name val="Times New Roman"/>
      <family val="1"/>
      <charset val="1"/>
    </font>
    <font>
      <b/>
      <sz val="11"/>
      <color rgb="FF000000"/>
      <name val="Times New Roman"/>
      <family val="1"/>
      <charset val="1"/>
    </font>
    <font>
      <sz val="11"/>
      <color rgb="FF006100"/>
      <name val="Calibri"/>
      <charset val="1"/>
    </font>
    <font>
      <sz val="11"/>
      <color rgb="FF9C6500"/>
      <name val="Times New Roman"/>
      <family val="1"/>
      <charset val="1"/>
    </font>
    <font>
      <sz val="12"/>
      <name val="Times New Roman"/>
      <family val="1"/>
      <charset val="1"/>
    </font>
    <font>
      <b/>
      <sz val="11"/>
      <name val="Times New Roman"/>
      <family val="1"/>
      <charset val="1"/>
    </font>
    <font>
      <sz val="11"/>
      <name val="Times New Roman"/>
      <family val="1"/>
      <charset val="1"/>
    </font>
    <font>
      <b/>
      <sz val="10"/>
      <color theme="1"/>
      <name val="Times New Roman"/>
      <family val="1"/>
      <charset val="1"/>
    </font>
    <font>
      <sz val="10"/>
      <color theme="1"/>
      <name val="Times New Roman"/>
      <family val="1"/>
      <charset val="1"/>
    </font>
    <font>
      <b/>
      <sz val="12"/>
      <color rgb="FF000000"/>
      <name val="Times New Roman"/>
      <family val="1"/>
      <charset val="1"/>
    </font>
    <font>
      <sz val="12"/>
      <color rgb="FF000000"/>
      <name val="Times New Roman"/>
      <family val="1"/>
      <charset val="1"/>
    </font>
    <font>
      <sz val="10"/>
      <color rgb="FF000000"/>
      <name val="Times New Roman"/>
      <family val="1"/>
      <charset val="1"/>
    </font>
    <font>
      <sz val="12"/>
      <color rgb="FFFF0000"/>
      <name val="Times New Roman"/>
      <family val="1"/>
      <charset val="1"/>
    </font>
    <font>
      <u/>
      <sz val="12"/>
      <color rgb="FF000000"/>
      <name val="Times New Roman"/>
      <family val="1"/>
      <charset val="1"/>
    </font>
    <font>
      <b/>
      <sz val="12"/>
      <name val="Times New Roman"/>
      <family val="1"/>
      <charset val="1"/>
    </font>
    <font>
      <b/>
      <sz val="11"/>
      <color rgb="FFFF0000"/>
      <name val="Times New Roman"/>
      <family val="1"/>
      <charset val="1"/>
    </font>
    <font>
      <b/>
      <sz val="11"/>
      <color rgb="FF000000"/>
      <name val="Calibri"/>
      <charset val="1"/>
    </font>
    <font>
      <sz val="11"/>
      <color rgb="FF000000"/>
      <name val="Calibri"/>
      <charset val="1"/>
    </font>
  </fonts>
  <fills count="8">
    <fill>
      <patternFill patternType="none"/>
    </fill>
    <fill>
      <patternFill patternType="gray125"/>
    </fill>
    <fill>
      <patternFill patternType="solid">
        <fgColor rgb="FFC6EFCE"/>
        <bgColor rgb="FFC4FEBB"/>
      </patternFill>
    </fill>
    <fill>
      <patternFill patternType="solid">
        <fgColor rgb="FFFFFFFF"/>
        <bgColor rgb="FFFFFFCC"/>
      </patternFill>
    </fill>
    <fill>
      <patternFill patternType="solid">
        <fgColor theme="3"/>
        <bgColor rgb="FF003300"/>
      </patternFill>
    </fill>
    <fill>
      <patternFill patternType="solid">
        <fgColor theme="4" tint="0.79989013336588644"/>
        <bgColor rgb="FFC6EFCE"/>
      </patternFill>
    </fill>
    <fill>
      <patternFill patternType="solid">
        <fgColor theme="6" tint="0.79989013336588644"/>
        <bgColor rgb="FFD9D9D9"/>
      </patternFill>
    </fill>
    <fill>
      <patternFill patternType="solid">
        <fgColor theme="0" tint="-0.14999847407452621"/>
        <bgColor rgb="FFC6EFCE"/>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bottom style="hair">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left/>
      <right style="thin">
        <color rgb="FF000000"/>
      </right>
      <top style="thin">
        <color rgb="FF000000"/>
      </top>
      <bottom style="thin">
        <color rgb="FF000000"/>
      </bottom>
      <diagonal/>
    </border>
    <border>
      <left/>
      <right style="thin">
        <color auto="1"/>
      </right>
      <top/>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3">
    <xf numFmtId="0" fontId="0" fillId="0" borderId="0"/>
    <xf numFmtId="167" fontId="19" fillId="0" borderId="0"/>
    <xf numFmtId="0" fontId="4" fillId="2" borderId="0"/>
  </cellStyleXfs>
  <cellXfs count="125">
    <xf numFmtId="0" fontId="0" fillId="0" borderId="0" xfId="0"/>
    <xf numFmtId="0" fontId="6" fillId="3" borderId="1" xfId="2" applyFont="1" applyFill="1" applyBorder="1" applyAlignment="1">
      <alignment horizontal="center" vertical="center"/>
    </xf>
    <xf numFmtId="0" fontId="7" fillId="3" borderId="1" xfId="2" applyFont="1" applyFill="1" applyBorder="1" applyAlignment="1">
      <alignment horizontal="center" vertical="center"/>
    </xf>
    <xf numFmtId="0" fontId="7" fillId="3" borderId="1" xfId="2" applyFont="1" applyFill="1" applyBorder="1" applyAlignment="1">
      <alignment horizontal="center" vertical="center" wrapText="1"/>
    </xf>
    <xf numFmtId="0" fontId="7" fillId="3" borderId="2" xfId="0" applyFont="1" applyFill="1" applyBorder="1" applyAlignment="1">
      <alignment horizontal="center" vertical="center"/>
    </xf>
    <xf numFmtId="0" fontId="8" fillId="3" borderId="1" xfId="2" applyFont="1" applyFill="1" applyBorder="1" applyAlignment="1">
      <alignment horizontal="center" vertical="center"/>
    </xf>
    <xf numFmtId="21" fontId="1" fillId="3" borderId="1" xfId="2" applyNumberFormat="1" applyFont="1" applyFill="1" applyBorder="1" applyAlignment="1">
      <alignment horizontal="center" vertical="center"/>
    </xf>
    <xf numFmtId="0" fontId="7" fillId="3" borderId="1" xfId="0" applyFont="1" applyFill="1" applyBorder="1" applyAlignment="1">
      <alignment horizontal="center" vertical="center"/>
    </xf>
    <xf numFmtId="164" fontId="1" fillId="3" borderId="1" xfId="0" applyNumberFormat="1" applyFont="1" applyFill="1" applyBorder="1" applyAlignment="1">
      <alignment horizontal="center" vertical="center"/>
    </xf>
    <xf numFmtId="164" fontId="3" fillId="3" borderId="1" xfId="0" applyNumberFormat="1" applyFont="1" applyFill="1" applyBorder="1" applyAlignment="1">
      <alignment horizontal="center" vertical="center"/>
    </xf>
    <xf numFmtId="0" fontId="3" fillId="3" borderId="0" xfId="2" applyFont="1" applyFill="1" applyAlignment="1">
      <alignment horizontal="justify" vertical="center"/>
    </xf>
    <xf numFmtId="164" fontId="1" fillId="3" borderId="0" xfId="0" applyNumberFormat="1" applyFont="1" applyFill="1" applyAlignment="1">
      <alignment horizontal="center" vertical="center"/>
    </xf>
    <xf numFmtId="0" fontId="12" fillId="3" borderId="0" xfId="0" applyFont="1" applyFill="1"/>
    <xf numFmtId="0" fontId="12" fillId="3" borderId="0" xfId="0" applyFont="1" applyFill="1" applyAlignment="1">
      <alignment horizontal="center"/>
    </xf>
    <xf numFmtId="0" fontId="12" fillId="3" borderId="3" xfId="0" applyFont="1" applyFill="1" applyBorder="1"/>
    <xf numFmtId="0" fontId="12" fillId="3" borderId="3" xfId="0" applyFont="1" applyFill="1" applyBorder="1" applyAlignment="1">
      <alignment horizontal="center"/>
    </xf>
    <xf numFmtId="0" fontId="12" fillId="3" borderId="4" xfId="0" applyFont="1" applyFill="1" applyBorder="1"/>
    <xf numFmtId="0" fontId="12" fillId="3" borderId="5" xfId="0" applyFont="1" applyFill="1" applyBorder="1"/>
    <xf numFmtId="0" fontId="12" fillId="5" borderId="1" xfId="0" applyFont="1" applyFill="1" applyBorder="1"/>
    <xf numFmtId="0" fontId="12" fillId="5" borderId="1" xfId="0" applyFont="1" applyFill="1" applyBorder="1" applyAlignment="1">
      <alignment horizontal="center"/>
    </xf>
    <xf numFmtId="21" fontId="12" fillId="5" borderId="1" xfId="0" applyNumberFormat="1" applyFont="1" applyFill="1" applyBorder="1" applyAlignment="1">
      <alignment horizontal="center"/>
    </xf>
    <xf numFmtId="165" fontId="12" fillId="5" borderId="1" xfId="0" applyNumberFormat="1" applyFont="1" applyFill="1" applyBorder="1" applyAlignment="1">
      <alignment horizontal="center"/>
    </xf>
    <xf numFmtId="166" fontId="14" fillId="4" borderId="1" xfId="0" applyNumberFormat="1" applyFont="1" applyFill="1" applyBorder="1"/>
    <xf numFmtId="0" fontId="14" fillId="4" borderId="1" xfId="0" applyFont="1" applyFill="1" applyBorder="1"/>
    <xf numFmtId="0" fontId="12" fillId="6" borderId="1" xfId="0" applyFont="1" applyFill="1" applyBorder="1"/>
    <xf numFmtId="0" fontId="12" fillId="6" borderId="1" xfId="0" applyFont="1" applyFill="1" applyBorder="1" applyAlignment="1">
      <alignment horizontal="center"/>
    </xf>
    <xf numFmtId="0" fontId="12" fillId="3" borderId="0" xfId="0" applyFont="1" applyFill="1" applyAlignment="1">
      <alignment vertical="center"/>
    </xf>
    <xf numFmtId="21" fontId="12" fillId="6" borderId="1" xfId="0" applyNumberFormat="1" applyFont="1" applyFill="1" applyBorder="1" applyAlignment="1">
      <alignment horizontal="center"/>
    </xf>
    <xf numFmtId="0" fontId="13" fillId="6" borderId="1" xfId="2" applyFont="1" applyFill="1" applyBorder="1" applyAlignment="1">
      <alignment horizontal="center"/>
    </xf>
    <xf numFmtId="165" fontId="12" fillId="6" borderId="1" xfId="0" applyNumberFormat="1" applyFont="1" applyFill="1" applyBorder="1" applyAlignment="1">
      <alignment horizontal="center"/>
    </xf>
    <xf numFmtId="0" fontId="12" fillId="3" borderId="5" xfId="0" applyFont="1" applyFill="1" applyBorder="1" applyAlignment="1">
      <alignment horizontal="center" vertical="center"/>
    </xf>
    <xf numFmtId="0" fontId="12" fillId="3" borderId="4" xfId="0" applyFont="1" applyFill="1" applyBorder="1" applyAlignment="1">
      <alignment horizontal="center" vertical="center"/>
    </xf>
    <xf numFmtId="0" fontId="12" fillId="3" borderId="4" xfId="0" applyFont="1" applyFill="1" applyBorder="1" applyAlignment="1">
      <alignment vertical="center"/>
    </xf>
    <xf numFmtId="0" fontId="12" fillId="3" borderId="7" xfId="0" applyFont="1" applyFill="1" applyBorder="1" applyAlignment="1">
      <alignment horizontal="center" vertical="center" wrapText="1"/>
    </xf>
    <xf numFmtId="0" fontId="12" fillId="3" borderId="8" xfId="0" applyFont="1" applyFill="1" applyBorder="1"/>
    <xf numFmtId="0" fontId="12" fillId="3" borderId="8" xfId="0" applyFont="1" applyFill="1" applyBorder="1" applyAlignment="1">
      <alignment horizontal="center"/>
    </xf>
    <xf numFmtId="0" fontId="12" fillId="3" borderId="4" xfId="0" applyFont="1" applyFill="1" applyBorder="1" applyAlignment="1">
      <alignment horizontal="center"/>
    </xf>
    <xf numFmtId="0" fontId="0" fillId="4" borderId="0" xfId="0" applyFill="1"/>
    <xf numFmtId="0" fontId="1" fillId="3" borderId="0" xfId="0" applyFont="1" applyFill="1" applyAlignment="1">
      <alignment vertical="center"/>
    </xf>
    <xf numFmtId="0" fontId="1" fillId="3" borderId="1" xfId="0" applyFont="1" applyFill="1" applyBorder="1" applyAlignment="1">
      <alignment vertical="center"/>
    </xf>
    <xf numFmtId="0" fontId="16" fillId="7" borderId="1" xfId="0" applyFont="1" applyFill="1" applyBorder="1" applyAlignment="1">
      <alignment vertical="center"/>
    </xf>
    <xf numFmtId="0" fontId="16" fillId="3" borderId="0" xfId="0" applyFont="1" applyFill="1" applyAlignment="1">
      <alignment horizontal="center" vertical="center"/>
    </xf>
    <xf numFmtId="0" fontId="17" fillId="3" borderId="1" xfId="0" applyFont="1" applyFill="1" applyBorder="1" applyAlignment="1">
      <alignment vertical="center"/>
    </xf>
    <xf numFmtId="0" fontId="16" fillId="7" borderId="1" xfId="0" applyFont="1" applyFill="1" applyBorder="1" applyAlignment="1">
      <alignment horizontal="center" vertical="center"/>
    </xf>
    <xf numFmtId="0" fontId="16" fillId="3" borderId="0" xfId="0" applyFont="1" applyFill="1" applyAlignment="1">
      <alignment vertical="center"/>
    </xf>
    <xf numFmtId="0" fontId="7" fillId="3" borderId="0" xfId="0" applyFont="1" applyFill="1" applyAlignment="1">
      <alignment horizontal="center" vertical="center"/>
    </xf>
    <xf numFmtId="0" fontId="7" fillId="7" borderId="1" xfId="0" applyFont="1" applyFill="1" applyBorder="1" applyAlignment="1">
      <alignment horizontal="center" vertical="center"/>
    </xf>
    <xf numFmtId="167" fontId="12" fillId="0" borderId="1" xfId="1" applyFont="1" applyBorder="1" applyAlignment="1">
      <alignment horizontal="center" vertical="center"/>
    </xf>
    <xf numFmtId="0" fontId="12" fillId="3" borderId="1" xfId="0" applyFont="1" applyFill="1" applyBorder="1" applyAlignment="1">
      <alignment vertical="center"/>
    </xf>
    <xf numFmtId="0" fontId="18" fillId="3" borderId="0" xfId="0" applyFont="1" applyFill="1"/>
    <xf numFmtId="0" fontId="0" fillId="3" borderId="0" xfId="0" applyFill="1"/>
    <xf numFmtId="0" fontId="0" fillId="3" borderId="1" xfId="0" applyFill="1" applyBorder="1" applyAlignment="1">
      <alignment horizontal="center" vertical="center"/>
    </xf>
    <xf numFmtId="0" fontId="0" fillId="3" borderId="0" xfId="0" applyFill="1" applyAlignment="1">
      <alignment horizontal="center" vertical="center"/>
    </xf>
    <xf numFmtId="0" fontId="0" fillId="0" borderId="0" xfId="0" applyAlignment="1">
      <alignment horizontal="center" vertical="center"/>
    </xf>
    <xf numFmtId="0" fontId="18" fillId="3" borderId="1" xfId="0" applyFont="1" applyFill="1" applyBorder="1" applyAlignment="1">
      <alignment horizontal="center" vertical="center"/>
    </xf>
    <xf numFmtId="0" fontId="18" fillId="3" borderId="0" xfId="0" applyFont="1" applyFill="1" applyAlignment="1">
      <alignment horizontal="center" vertical="center"/>
    </xf>
    <xf numFmtId="49" fontId="0" fillId="0" borderId="0" xfId="0" applyNumberFormat="1"/>
    <xf numFmtId="0" fontId="0" fillId="0" borderId="0" xfId="0"/>
    <xf numFmtId="0" fontId="1" fillId="3" borderId="0" xfId="0" applyFont="1" applyFill="1" applyAlignment="1">
      <alignment horizontal="center" vertical="center"/>
    </xf>
    <xf numFmtId="0" fontId="5" fillId="3" borderId="0" xfId="0" applyFont="1" applyFill="1" applyAlignment="1">
      <alignment horizontal="center" vertical="center"/>
    </xf>
    <xf numFmtId="0" fontId="3" fillId="3" borderId="1" xfId="0" applyFont="1" applyFill="1" applyBorder="1" applyAlignment="1">
      <alignment horizontal="center" vertical="center"/>
    </xf>
    <xf numFmtId="0" fontId="1" fillId="3" borderId="1" xfId="0" applyFont="1" applyFill="1" applyBorder="1" applyAlignment="1">
      <alignment horizontal="justify" vertical="center"/>
    </xf>
    <xf numFmtId="0" fontId="1" fillId="3" borderId="1" xfId="2" applyFont="1" applyFill="1" applyBorder="1" applyAlignment="1">
      <alignment horizontal="center" vertical="center"/>
    </xf>
    <xf numFmtId="0" fontId="12" fillId="3"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12" fillId="3" borderId="1" xfId="0" applyFont="1" applyFill="1" applyBorder="1" applyAlignment="1">
      <alignment horizontal="center"/>
    </xf>
    <xf numFmtId="0" fontId="12" fillId="4" borderId="0" xfId="0" applyFont="1" applyFill="1" applyAlignment="1">
      <alignment horizontal="center" vertical="center"/>
    </xf>
    <xf numFmtId="0" fontId="12" fillId="3" borderId="1" xfId="0" applyFont="1" applyFill="1" applyBorder="1" applyAlignment="1">
      <alignment horizontal="justify" vertical="center"/>
    </xf>
    <xf numFmtId="0" fontId="10" fillId="3" borderId="7" xfId="0" applyFont="1" applyFill="1" applyBorder="1" applyAlignment="1">
      <alignment horizontal="center" vertical="center"/>
    </xf>
    <xf numFmtId="0" fontId="3" fillId="3" borderId="1" xfId="0" applyFont="1" applyFill="1" applyBorder="1" applyAlignment="1">
      <alignment horizontal="center" vertical="center"/>
    </xf>
    <xf numFmtId="0" fontId="1" fillId="3" borderId="0" xfId="0" applyFont="1" applyFill="1" applyAlignment="1">
      <alignment horizontal="center" vertical="center"/>
    </xf>
    <xf numFmtId="0" fontId="9" fillId="3" borderId="1" xfId="0" applyFont="1" applyFill="1" applyBorder="1" applyAlignment="1">
      <alignment horizontal="center" vertical="center"/>
    </xf>
    <xf numFmtId="0" fontId="0" fillId="0" borderId="9" xfId="0" applyBorder="1" applyAlignment="1">
      <alignment horizontal="center" wrapText="1"/>
    </xf>
    <xf numFmtId="0" fontId="1" fillId="3" borderId="1" xfId="2" applyFont="1" applyFill="1" applyBorder="1" applyAlignment="1">
      <alignment horizontal="center" vertical="center"/>
    </xf>
    <xf numFmtId="0" fontId="0" fillId="3" borderId="1" xfId="0" applyFill="1" applyBorder="1" applyAlignment="1">
      <alignment horizontal="center" wrapText="1"/>
    </xf>
    <xf numFmtId="0" fontId="1" fillId="3" borderId="1" xfId="2" applyFont="1" applyFill="1" applyBorder="1" applyAlignment="1">
      <alignment horizontal="justify" vertical="center" wrapText="1"/>
    </xf>
    <xf numFmtId="0" fontId="0" fillId="3" borderId="10" xfId="0" applyFill="1" applyBorder="1" applyAlignment="1">
      <alignment horizontal="center" wrapText="1"/>
    </xf>
    <xf numFmtId="0" fontId="2" fillId="3" borderId="0" xfId="0" applyFont="1" applyFill="1" applyAlignment="1">
      <alignment horizontal="center" vertical="center"/>
    </xf>
    <xf numFmtId="0" fontId="8" fillId="3" borderId="0" xfId="2" applyFont="1" applyFill="1" applyAlignment="1">
      <alignment horizontal="center" vertical="center"/>
    </xf>
    <xf numFmtId="0" fontId="10" fillId="3" borderId="1" xfId="0" applyFont="1" applyFill="1" applyBorder="1" applyAlignment="1">
      <alignment horizontal="center" vertical="center"/>
    </xf>
    <xf numFmtId="0" fontId="5" fillId="3" borderId="0" xfId="0" applyFont="1" applyFill="1" applyAlignment="1">
      <alignment horizontal="center" vertical="center"/>
    </xf>
    <xf numFmtId="0" fontId="3" fillId="3" borderId="0" xfId="0" applyFont="1" applyFill="1" applyAlignment="1">
      <alignment horizontal="center" vertical="center"/>
    </xf>
    <xf numFmtId="0" fontId="3" fillId="3" borderId="2" xfId="0" applyFont="1" applyFill="1" applyBorder="1" applyAlignment="1">
      <alignment horizontal="center" vertical="center"/>
    </xf>
    <xf numFmtId="0" fontId="1" fillId="3" borderId="1" xfId="0" applyFont="1" applyFill="1" applyBorder="1" applyAlignment="1">
      <alignment horizontal="justify" vertical="center"/>
    </xf>
    <xf numFmtId="0" fontId="9" fillId="3" borderId="7" xfId="0" applyFont="1" applyFill="1" applyBorder="1" applyAlignment="1">
      <alignment horizontal="center" vertical="center"/>
    </xf>
    <xf numFmtId="0" fontId="3" fillId="3" borderId="1" xfId="0" applyFont="1" applyFill="1" applyBorder="1" applyAlignment="1">
      <alignment horizontal="center" vertical="center" wrapText="1"/>
    </xf>
    <xf numFmtId="0" fontId="1" fillId="3" borderId="0" xfId="0" applyFont="1" applyFill="1" applyAlignment="1">
      <alignment horizontal="justify" vertical="center"/>
    </xf>
    <xf numFmtId="0" fontId="1" fillId="3" borderId="1" xfId="2" applyFont="1" applyFill="1" applyBorder="1" applyAlignment="1">
      <alignment horizontal="center" vertical="center" wrapText="1"/>
    </xf>
    <xf numFmtId="0" fontId="12" fillId="3" borderId="1" xfId="0" applyFont="1" applyFill="1" applyBorder="1" applyAlignment="1">
      <alignment horizontal="center" vertical="center"/>
    </xf>
    <xf numFmtId="0" fontId="12" fillId="3" borderId="1" xfId="0" applyFont="1" applyFill="1" applyBorder="1" applyAlignment="1">
      <alignment horizontal="center"/>
    </xf>
    <xf numFmtId="0" fontId="12" fillId="5"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3" borderId="1" xfId="0" applyFont="1" applyFill="1" applyBorder="1" applyAlignment="1">
      <alignment horizontal="center" vertical="center"/>
    </xf>
    <xf numFmtId="0" fontId="11" fillId="3" borderId="1" xfId="0" applyFont="1" applyFill="1" applyBorder="1" applyAlignment="1">
      <alignment horizontal="justify" vertical="center" wrapText="1"/>
    </xf>
    <xf numFmtId="0" fontId="12" fillId="4" borderId="6" xfId="0" applyFont="1" applyFill="1" applyBorder="1" applyAlignment="1">
      <alignment horizontal="center"/>
    </xf>
    <xf numFmtId="0" fontId="12" fillId="3" borderId="1" xfId="0" applyFont="1" applyFill="1" applyBorder="1" applyAlignment="1">
      <alignment horizontal="center" vertical="center" wrapText="1"/>
    </xf>
    <xf numFmtId="0" fontId="12" fillId="3" borderId="0" xfId="0" applyFont="1" applyFill="1" applyAlignment="1">
      <alignment horizontal="justify" vertical="center"/>
    </xf>
    <xf numFmtId="0" fontId="12" fillId="3" borderId="0" xfId="0" applyFont="1" applyFill="1" applyAlignment="1">
      <alignment horizontal="center" vertical="center"/>
    </xf>
    <xf numFmtId="0" fontId="12" fillId="3" borderId="0" xfId="0" applyFont="1" applyFill="1" applyAlignment="1">
      <alignment horizontal="left" vertical="center"/>
    </xf>
    <xf numFmtId="0" fontId="15" fillId="3" borderId="0" xfId="0" applyFont="1" applyFill="1" applyAlignment="1">
      <alignment horizontal="center" vertical="center"/>
    </xf>
    <xf numFmtId="0" fontId="12" fillId="4" borderId="0" xfId="0" applyFont="1" applyFill="1" applyAlignment="1">
      <alignment horizontal="center" vertical="center"/>
    </xf>
    <xf numFmtId="0" fontId="12" fillId="3" borderId="1" xfId="0" applyFont="1" applyFill="1" applyBorder="1" applyAlignment="1">
      <alignment horizontal="justify" vertical="center"/>
    </xf>
    <xf numFmtId="0" fontId="11" fillId="7" borderId="1" xfId="0" applyFont="1" applyFill="1" applyBorder="1" applyAlignment="1">
      <alignment horizontal="center" vertical="center"/>
    </xf>
    <xf numFmtId="0" fontId="3" fillId="3" borderId="0" xfId="2" applyFont="1" applyFill="1" applyAlignment="1">
      <alignment horizontal="center" vertical="center"/>
    </xf>
    <xf numFmtId="0" fontId="1" fillId="3" borderId="0" xfId="0" applyFont="1" applyFill="1" applyAlignment="1">
      <alignment horizontal="center" vertical="center" wrapText="1"/>
    </xf>
    <xf numFmtId="0" fontId="11" fillId="3" borderId="6" xfId="0" applyFont="1" applyFill="1" applyBorder="1" applyAlignment="1">
      <alignment horizontal="center" vertical="center"/>
    </xf>
    <xf numFmtId="0" fontId="11" fillId="3" borderId="11" xfId="0" applyFont="1" applyFill="1" applyBorder="1" applyAlignment="1">
      <alignment horizontal="center" vertical="center"/>
    </xf>
    <xf numFmtId="0" fontId="11" fillId="3" borderId="7" xfId="0" applyFont="1" applyFill="1" applyBorder="1" applyAlignment="1">
      <alignment horizontal="center" vertical="center"/>
    </xf>
    <xf numFmtId="0" fontId="3" fillId="3" borderId="6" xfId="2" applyFont="1" applyFill="1" applyBorder="1" applyAlignment="1">
      <alignment horizontal="left" vertical="center" wrapText="1"/>
    </xf>
    <xf numFmtId="0" fontId="3" fillId="3" borderId="11" xfId="2" applyFont="1" applyFill="1" applyBorder="1" applyAlignment="1">
      <alignment horizontal="left" vertical="center" wrapText="1"/>
    </xf>
    <xf numFmtId="0" fontId="3" fillId="3" borderId="7" xfId="2" applyFont="1" applyFill="1" applyBorder="1" applyAlignment="1">
      <alignment horizontal="left" vertical="center" wrapText="1"/>
    </xf>
    <xf numFmtId="0" fontId="0" fillId="0" borderId="7" xfId="0" applyBorder="1" applyAlignment="1"/>
    <xf numFmtId="0" fontId="0" fillId="0" borderId="11" xfId="0" applyBorder="1" applyAlignment="1"/>
    <xf numFmtId="0" fontId="0" fillId="0" borderId="10" xfId="0" applyBorder="1" applyAlignment="1"/>
    <xf numFmtId="0" fontId="0" fillId="0" borderId="15" xfId="0" applyBorder="1" applyAlignment="1"/>
    <xf numFmtId="0" fontId="0" fillId="0" borderId="13" xfId="0" applyBorder="1" applyAlignment="1"/>
    <xf numFmtId="0" fontId="0" fillId="0" borderId="16" xfId="0" applyBorder="1" applyAlignment="1"/>
    <xf numFmtId="0" fontId="0" fillId="0" borderId="18" xfId="0" applyBorder="1" applyAlignment="1"/>
    <xf numFmtId="0" fontId="12" fillId="4" borderId="1" xfId="0" applyFont="1" applyFill="1" applyBorder="1" applyAlignment="1"/>
    <xf numFmtId="0" fontId="0" fillId="0" borderId="12" xfId="0" applyBorder="1" applyAlignment="1"/>
    <xf numFmtId="0" fontId="0" fillId="0" borderId="14" xfId="0" applyBorder="1" applyAlignment="1"/>
    <xf numFmtId="0" fontId="12" fillId="3" borderId="0" xfId="0" applyFont="1" applyFill="1" applyAlignment="1"/>
    <xf numFmtId="0" fontId="0" fillId="0" borderId="17" xfId="0" applyBorder="1" applyAlignment="1"/>
    <xf numFmtId="0" fontId="0" fillId="0" borderId="19" xfId="0" applyBorder="1" applyAlignment="1"/>
    <xf numFmtId="0" fontId="0" fillId="0" borderId="20" xfId="0" applyBorder="1" applyAlignment="1"/>
  </cellXfs>
  <cellStyles count="3">
    <cellStyle name="Excel Built-in Explanatory Text" xfId="2" xr:uid="{00000000-0005-0000-0000-000002000000}"/>
    <cellStyle name="Moeda" xfId="1" builtinId="4"/>
    <cellStyle name="Normal" xfId="0" builtinId="0"/>
  </cellStyles>
  <dxfs count="2">
    <dxf>
      <font>
        <sz val="11"/>
        <color rgb="FF000000"/>
        <name val="Calibri"/>
        <charset val="1"/>
      </font>
    </dxf>
    <dxf>
      <font>
        <sz val="11"/>
        <color rgb="FF000000"/>
        <name val="Calibri"/>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C0C0C0"/>
      <rgbColor rgb="FF808080"/>
      <rgbColor rgb="FF9999FF"/>
      <rgbColor rgb="FF993366"/>
      <rgbColor rgb="FFFFFFCC"/>
      <rgbColor rgb="FFC6EFC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4FEBB"/>
      <rgbColor rgb="FFFFFF99"/>
      <rgbColor rgb="FF99CCFF"/>
      <rgbColor rgb="FFFF99CC"/>
      <rgbColor rgb="FFCC99FF"/>
      <rgbColor rgb="FFFED4B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6.xml.rels><?xml version="1.0" encoding="UTF-8" standalone="yes"?>
<Relationships xmlns="http://schemas.openxmlformats.org/package/2006/relationships"><Relationship Id="rId13" Type="http://schemas.openxmlformats.org/officeDocument/2006/relationships/hyperlink" Target="enviadoQSGR%20Nr%2037%20Ref%20BI%20Nr%20128%20e%20143%20Cmt%20Joinvile/QSGR%20Nr%2014%20Ref%20BI%20Nr%20075%20Vitor%20Macedo/QSGR%20Nr14(2025)%20Ref%20BI%20Nr%20092.xlsx" TargetMode="External"/><Relationship Id="rId18" Type="http://schemas.openxmlformats.org/officeDocument/2006/relationships/hyperlink" Target="enviadoQSGR%20Nr%2037%20Ref%20BI%20Nr%20128%20e%20143%20Cmt%20Joinvile/QSGR%20Nr%2019%20(2025)%20Ref%20BI%20Nr%20109%20ALVES/QSGR%20Nr19%20%20(2025)%20Ref%20BI%20Nr%20109.xlsx" TargetMode="External"/><Relationship Id="rId26" Type="http://schemas.openxmlformats.org/officeDocument/2006/relationships/hyperlink" Target="enviadoQSGR%20Nr%2037%20Ref%20BI%20Nr%20128%20e%20143%20Cmt%20Joinvile/QSGR%20Nr%2027%20Ref%20BI%20Nr%2076%20Sgts%203RCG/QSGR%20Nr%2027.xlsx" TargetMode="External"/><Relationship Id="rId39" Type="http://schemas.openxmlformats.org/officeDocument/2006/relationships/hyperlink" Target="enviadoQSGR%20Nr%2037%20Ref%20BI%20Nr%20128%20e%20143%20Cmt%20Joinvile/QSGR%20Nr%2040%20Ref%20BI%20Nr%20(livre)/QSGR%20Nr%2040.xlsx" TargetMode="External"/><Relationship Id="rId21" Type="http://schemas.openxmlformats.org/officeDocument/2006/relationships/hyperlink" Target="enviadoQSGR%20Nr%2037%20Ref%20BI%20Nr%20128%20e%20143%20Cmt%20Joinvile/QSGR%20Nr%2022%20(2025)%20Ref%20BI%20Nr%20087/QSGR%20Nr%2022%20(2025)%20Ref%20BI%20Nr%20087.xlsx" TargetMode="External"/><Relationship Id="rId34" Type="http://schemas.openxmlformats.org/officeDocument/2006/relationships/hyperlink" Target="enviadoQSGR%20Nr%2037%20Ref%20BI%20Nr%20128%20e%20143%20Cmt%20Joinvile/QSGR%20Nr%2035%20Ref%20BI%20Nr%20(livre)/QSGR%20Nr%2035.xlsx" TargetMode="External"/><Relationship Id="rId42" Type="http://schemas.openxmlformats.org/officeDocument/2006/relationships/hyperlink" Target="enviadoQSGR%20Nr%2037%20Ref%20BI%20Nr%20128%20e%20143%20Cmt%20Joinvile/QSGR%20Nr%2043%20Ref%20BI%20Nr%20(livre)/QSGR%20Nr%2043.xlsx" TargetMode="External"/><Relationship Id="rId7" Type="http://schemas.openxmlformats.org/officeDocument/2006/relationships/hyperlink" Target="enviadoQSGR%20Nr%2037%20Ref%20BI%20Nr%20128%20e%20143%20Cmt%20Joinvile/QSGR%20Nr%2007%20Ref%20BI%20Nr%20068/QSGR%20Nr07(2025)%20Ref%20BI%20Nr%20068.xlsx" TargetMode="External"/><Relationship Id="rId2" Type="http://schemas.openxmlformats.org/officeDocument/2006/relationships/hyperlink" Target="enviadoQSGR%20Nr%2037%20Ref%20BI%20Nr%20128%20e%20143%20Cmt%20Joinvile/QSGR%20Nr%2002%20Ref%20BI%20Nr%20243/QSGR%20Nr02(2025)%20Ref%20BI%20Nr%20243%20(1).xlsx" TargetMode="External"/><Relationship Id="rId16" Type="http://schemas.openxmlformats.org/officeDocument/2006/relationships/hyperlink" Target="enviadoQSGR%20Nr%2037%20Ref%20BI%20Nr%20128%20e%20143%20Cmt%20Joinvile/QSGR%20Nr%2017%20(2025)%20Ref%20BI%20Nr%20(livre)/QSGR%20Nr17(2025)%20Ref%20BI%20Nr%20087.xlsx" TargetMode="External"/><Relationship Id="rId20" Type="http://schemas.openxmlformats.org/officeDocument/2006/relationships/hyperlink" Target="enviadoQSGR%20Nr%2037%20Ref%20BI%20Nr%20128%20e%20143%20Cmt%20Joinvile/QSGR%20Nr%2021%20(2025)%20Ref%20BI%20Nr%20082/QSGR%20Nr21(2025)%20Ref%20BI%20Nr%20082.xlsx" TargetMode="External"/><Relationship Id="rId29" Type="http://schemas.openxmlformats.org/officeDocument/2006/relationships/hyperlink" Target="enviadoQSGR%20Nr%2037%20Ref%20BI%20Nr%20128%20e%20143%20Cmt%20Joinvile/QSGR%20Nr%2030%20Ref%20BI%20Nr%20(livre)/QSGR%20Nr%2030.xlsx" TargetMode="External"/><Relationship Id="rId41" Type="http://schemas.openxmlformats.org/officeDocument/2006/relationships/hyperlink" Target="enviadoQSGR%20Nr%2037%20Ref%20BI%20Nr%20128%20e%20143%20Cmt%20Joinvile/QSGR%20Nr%2042%20Ref%20BI%20Nr%20(livre)/QSGR%20Nr%2042.xlsx" TargetMode="External"/><Relationship Id="rId1" Type="http://schemas.openxmlformats.org/officeDocument/2006/relationships/hyperlink" Target="enviadoQSGR%20Nr%2037%20Ref%20BI%20Nr%20128%20e%20143%20Cmt%20Joinvile/QSGR%20Nr%2001%20Ref%20BI%20Nr%20242/QSGR%20Nr01(2025)%20Ref%20BI%20Nr%20242%20(1).xlsx" TargetMode="External"/><Relationship Id="rId6" Type="http://schemas.openxmlformats.org/officeDocument/2006/relationships/hyperlink" Target="enviadoQSGR%20Nr%2037%20Ref%20BI%20Nr%20128%20e%20143%20Cmt%20Joinvile/QSGR%20Nr%2006%20Ref%20BI%20Nr%20062/QSGR%20Nr06(2025)%20Ref%20BI%20Nr%20062.xlsx" TargetMode="External"/><Relationship Id="rId11" Type="http://schemas.openxmlformats.org/officeDocument/2006/relationships/hyperlink" Target="enviadoQSGR%20Nr%2037%20Ref%20BI%20Nr%20128%20e%20143%20Cmt%20Joinvile/QSGR%20Nr%2012%20Ref%20BI%20Nr%20074/QSGR%20Nr12(2025)%20Ref%20BI%20Nr%20074.xlsx" TargetMode="External"/><Relationship Id="rId24" Type="http://schemas.openxmlformats.org/officeDocument/2006/relationships/hyperlink" Target="enviadoQSGR%20Nr%2037%20Ref%20BI%20Nr%20128%20e%20143%20Cmt%20Joinvile/QSGR%20Nr%2025%20Ref%20BI%20Nr%2076%20Vito%20Macedo/QSGR%20Nr%2025.xlsx" TargetMode="External"/><Relationship Id="rId32" Type="http://schemas.openxmlformats.org/officeDocument/2006/relationships/hyperlink" Target="enviadoQSGR%20Nr%2037%20Ref%20BI%20Nr%20128%20e%20143%20Cmt%20Joinvile/QSGR%20Nr%2033%20Ref%20BI%20Nr%20(livre)/QSGR%20Nr%2033.xlsx" TargetMode="External"/><Relationship Id="rId37" Type="http://schemas.openxmlformats.org/officeDocument/2006/relationships/hyperlink" Target="enviadoQSGR%20Nr%2037%20Ref%20BI%20Nr%20128%20e%20143%20Cmt%20Joinvile/QSGR%20Nr%2038%20Ref%20BI%20Nr%20(livre)/QSGR%20Nr%2038.xlsx" TargetMode="External"/><Relationship Id="rId40" Type="http://schemas.openxmlformats.org/officeDocument/2006/relationships/hyperlink" Target="enviadoQSGR%20Nr%2037%20Ref%20BI%20Nr%20128%20e%20143%20Cmt%20Joinvile/QSGR%20Nr%2041%20Ref%20BI%20Nr%20(livre)/QSGR%20Nr%2041.xlsx" TargetMode="External"/><Relationship Id="rId5" Type="http://schemas.openxmlformats.org/officeDocument/2006/relationships/hyperlink" Target="enviadoQSGR%20Nr%2037%20Ref%20BI%20Nr%20128%20e%20143%20Cmt%20Joinvile/QSGR%20Nr%2005%20Ref%20BI%20Nr%20059/QSGR%20Nr05(2025)%20Ref%20BI%20Nr%20059.xlsx" TargetMode="External"/><Relationship Id="rId15" Type="http://schemas.openxmlformats.org/officeDocument/2006/relationships/hyperlink" Target="enviadoQSGR%20Nr%2037%20Ref%20BI%20Nr%20128%20e%20143%20Cmt%20Joinvile/QSGR%20Nr%2016%20(2025)%20Ref%20BI%20Nr%20067/QSGR%20Nr16(2025)%20Ref%20BI%20Nr%20081.xlsx" TargetMode="External"/><Relationship Id="rId23" Type="http://schemas.openxmlformats.org/officeDocument/2006/relationships/hyperlink" Target="enviadoQSGR%20Nr%2037%20Ref%20BI%20Nr%20128%20e%20143%20Cmt%20Joinvile/QSGR%20Nr%2024%20(2025)%20Ref%20BI%20Nr%20100%20podelesk/Modelo%20Grat%20Rep.xlsx" TargetMode="External"/><Relationship Id="rId28" Type="http://schemas.openxmlformats.org/officeDocument/2006/relationships/hyperlink" Target="enviadoQSGR%20Nr%2037%20Ref%20BI%20Nr%20128%20e%20143%20Cmt%20Joinvile/QSGR%20Nr%2029%20Ref%20BI%20Nr%20101%20NPOR/QSGR%20Nr%2029.xlsx" TargetMode="External"/><Relationship Id="rId36" Type="http://schemas.openxmlformats.org/officeDocument/2006/relationships/hyperlink" Target="enviadoQSGR%20Nr%2037%20Ref%20BI%20Nr%20128%20e%20143%20Cmt%20Joinvile/QSGR%20Nr%2037%20Ref%20BI%20Nr%20(livre)/QSGR%20Nr%2037.xlsx" TargetMode="External"/><Relationship Id="rId10" Type="http://schemas.openxmlformats.org/officeDocument/2006/relationships/hyperlink" Target="enviadoQSGR%20Nr%2037%20Ref%20BI%20Nr%20128%20e%20143%20Cmt%20Joinvile/QSGR%20Nr%2011%20Ref%20BI%20Nr%20074/QSGR%20Nr11(2025)%20Ref%20BI%20Nr%20071.xlsx" TargetMode="External"/><Relationship Id="rId19" Type="http://schemas.openxmlformats.org/officeDocument/2006/relationships/hyperlink" Target="enviadoQSGR%20Nr%2037%20Ref%20BI%20Nr%20128%20e%20143%20Cmt%20Joinvile/QSGR%20Nr%2020%20(2025)%20Ref%20BI%20Nr%20087/QSGR%20Nr20(2025)%20Ref%20BI%20Nr%20087.xlsx" TargetMode="External"/><Relationship Id="rId31" Type="http://schemas.openxmlformats.org/officeDocument/2006/relationships/hyperlink" Target="enviadoQSGR%20Nr%2037%20Ref%20BI%20Nr%20128%20e%20143%20Cmt%20Joinvile/QSGR%20Nr%2032%20Ref%20BI%20Nr%20(livre)/QSGR%20Nr%2032.xlsx" TargetMode="External"/><Relationship Id="rId4" Type="http://schemas.openxmlformats.org/officeDocument/2006/relationships/hyperlink" Target="enviadoQSGR%20Nr%2037%20Ref%20BI%20Nr%20128%20e%20143%20Cmt%20Joinvile/QSGR%20Nr%2003%20Ref%20BI%20Nr%20056/QSGR%20Nr03(2025)%20Ref%20BI%20Nr%20056.xlsx" TargetMode="External"/><Relationship Id="rId9" Type="http://schemas.openxmlformats.org/officeDocument/2006/relationships/hyperlink" Target="enviadoQSGR%20Nr%2037%20Ref%20BI%20Nr%20128%20e%20143%20Cmt%20Joinvile/QSGR%20Nr%2010%20Ref%20BI%20Nr%20074/QSGR%20Nr10(2025)%20Ref%20BI%20Nr%20071.xlsx" TargetMode="External"/><Relationship Id="rId14" Type="http://schemas.openxmlformats.org/officeDocument/2006/relationships/hyperlink" Target="enviadoQSGR%20Nr%2037%20Ref%20BI%20Nr%20128%20e%20143%20Cmt%20Joinvile/QSGR%20Nr%2015%20(2025)%20Ref%20BI%20Nr%20075,%20DE%2023_04_2025,%20DO%2063_bi/QSGR%20Nr15(2025)%20Ref%20BI%20Nr%20081.xlsx" TargetMode="External"/><Relationship Id="rId22" Type="http://schemas.openxmlformats.org/officeDocument/2006/relationships/hyperlink" Target="enviadoQSGR%20Nr%2037%20Ref%20BI%20Nr%20128%20e%20143%20Cmt%20Joinvile/QSGR%20Nr%2023%20(2025)%20Ref%20BI%20Nr%20Caio%20Augusto/QSGR%20Nr%2023%20%20(2025)%20Ref%20BI%20Nr%2096%20CAio%20Augusto.xlsx" TargetMode="External"/><Relationship Id="rId27" Type="http://schemas.openxmlformats.org/officeDocument/2006/relationships/hyperlink" Target="enviadoQSGR%20Nr%2037%20Ref%20BI%20Nr%20128%20e%20143%20Cmt%20Joinvile/QSGR%20Nr%2028%20Ref%20BI%20Nr%20100%20regata%20engenharia/QSGR%20Nr%2028.xlsx" TargetMode="External"/><Relationship Id="rId30" Type="http://schemas.openxmlformats.org/officeDocument/2006/relationships/hyperlink" Target="enviadoQSGR%20Nr%2037%20Ref%20BI%20Nr%20128%20e%20143%20Cmt%20Joinvile/QSGR%20Nr%2031%20Ref%20BI%20Nr%20(livre)/QSGR%20Nr%2031.xlsx" TargetMode="External"/><Relationship Id="rId35" Type="http://schemas.openxmlformats.org/officeDocument/2006/relationships/hyperlink" Target="enviadoQSGR%20Nr%2037%20Ref%20BI%20Nr%20128%20e%20143%20Cmt%20Joinvile/QSGR%20Nr%2036%20Ref%20BI%20Nr%20(livre)/QSGR%20Nr%2036.xlsx" TargetMode="External"/><Relationship Id="rId8" Type="http://schemas.openxmlformats.org/officeDocument/2006/relationships/hyperlink" Target="enviadoQSGR%20Nr%2037%20Ref%20BI%20Nr%20128%20e%20143%20Cmt%20Joinvile/QSGR%20Nr%2009%20Ref%20BI%20Nr%20071/QSGR%20Nr09(2025)%20Ref%20BI%20Nr%20071.xlsx" TargetMode="External"/><Relationship Id="rId3" Type="http://schemas.openxmlformats.org/officeDocument/2006/relationships/hyperlink" Target="enviadoQSGR%20Nr%2037%20Ref%20BI%20Nr%20128%20e%20143%20Cmt%20Joinvile/QSGR%20Nr%2003%20Ref%20BI%20Nr%20056/QSGR%20Nr03(2025)%20Ref%20BI%20Nr%20056.xlsx" TargetMode="External"/><Relationship Id="rId12" Type="http://schemas.openxmlformats.org/officeDocument/2006/relationships/hyperlink" Target="enviadoQSGR%20Nr%2037%20Ref%20BI%20Nr%20128%20e%20143%20Cmt%20Joinvile/QSGR%20Nr%2013%20Ref%20BI%20Nr%20074/QSGR%20Nr13(2025)%20Ref%20BI%20Nr%20075.xlsx" TargetMode="External"/><Relationship Id="rId17" Type="http://schemas.openxmlformats.org/officeDocument/2006/relationships/hyperlink" Target="enviadoQSGR%20Nr%2037%20Ref%20BI%20Nr%20128%20e%20143%20Cmt%20Joinvile/QSGR%20Nr%2018%20(2025)%20Ref%20BI%20Nr%20078/QSGR%20Nr18(2025)%20Ref%20BI%20Nr%20075.xlsx" TargetMode="External"/><Relationship Id="rId25" Type="http://schemas.openxmlformats.org/officeDocument/2006/relationships/hyperlink" Target="enviadoQSGR%20Nr%2037%20Ref%20BI%20Nr%20128%20e%20143%20Cmt%20Joinvile/QSGR%20Nr%2026%20Ref%20BI%20Nr%2076%20Badim/QSGR%20Nr%2026.xlsx" TargetMode="External"/><Relationship Id="rId33" Type="http://schemas.openxmlformats.org/officeDocument/2006/relationships/hyperlink" Target="enviadoQSGR%20Nr%2037%20Ref%20BI%20Nr%20128%20e%20143%20Cmt%20Joinvile/QSGR%20Nr%2034%20Ref%20BI%20Nr%20(livre)/QSGR%20Nr%2034.xlsx" TargetMode="External"/><Relationship Id="rId38" Type="http://schemas.openxmlformats.org/officeDocument/2006/relationships/hyperlink" Target="enviadoQSGR%20Nr%2037%20Ref%20BI%20Nr%20128%20e%20143%20Cmt%20Joinvile/QSGR%20Nr%2039%20Ref%20BI%20Nr%20(livre)/QSGR%20Nr%2039.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48526"/>
  <sheetViews>
    <sheetView showGridLines="0" tabSelected="1" zoomScale="110" zoomScaleNormal="110" workbookViewId="0">
      <selection activeCell="G6" sqref="G6:J6"/>
    </sheetView>
  </sheetViews>
  <sheetFormatPr defaultColWidth="8.85546875" defaultRowHeight="13.5" customHeight="1"/>
  <cols>
    <col min="1" max="1" width="17.28515625" style="58" customWidth="1"/>
    <col min="2" max="2" width="7.42578125" style="58" customWidth="1"/>
    <col min="3" max="3" width="9.42578125" style="58" customWidth="1"/>
    <col min="4" max="4" width="6.7109375" style="58" customWidth="1"/>
    <col min="5" max="5" width="8.85546875" style="58" customWidth="1"/>
    <col min="6" max="6" width="14.85546875" style="58" customWidth="1"/>
    <col min="7" max="7" width="16.7109375" style="58" customWidth="1"/>
    <col min="8" max="8" width="14.5703125" style="58" customWidth="1"/>
    <col min="9" max="9" width="11.7109375" style="58" customWidth="1"/>
    <col min="10" max="10" width="16.85546875" style="58" customWidth="1"/>
    <col min="11" max="1021" width="8.85546875" style="58" customWidth="1"/>
    <col min="1022" max="1024" width="11.5703125" style="58" customWidth="1"/>
    <col min="1025" max="1025" width="8.85546875" style="58" customWidth="1"/>
    <col min="1026" max="16384" width="8.85546875" style="58"/>
  </cols>
  <sheetData>
    <row r="1" spans="1:19" ht="17.45" customHeight="1">
      <c r="A1" s="77" t="s">
        <v>0</v>
      </c>
      <c r="B1" s="70"/>
      <c r="C1" s="70"/>
      <c r="D1" s="70"/>
      <c r="E1" s="70"/>
      <c r="F1" s="70"/>
      <c r="G1" s="70"/>
      <c r="H1" s="70"/>
      <c r="I1" s="70"/>
      <c r="J1" s="70"/>
      <c r="K1" s="70"/>
      <c r="L1" s="70"/>
      <c r="M1" s="70"/>
      <c r="N1" s="70"/>
      <c r="O1" s="70"/>
      <c r="P1" s="70"/>
      <c r="Q1" s="70"/>
      <c r="R1" s="70"/>
      <c r="S1" s="70"/>
    </row>
    <row r="2" spans="1:19" ht="17.45" customHeight="1">
      <c r="A2" s="77" t="s">
        <v>1</v>
      </c>
      <c r="B2" s="70"/>
      <c r="C2" s="70"/>
      <c r="D2" s="70"/>
      <c r="E2" s="70"/>
      <c r="F2" s="70"/>
      <c r="G2" s="70"/>
      <c r="H2" s="70"/>
      <c r="I2" s="70"/>
      <c r="J2" s="70"/>
      <c r="K2" s="70"/>
      <c r="L2" s="70"/>
      <c r="M2" s="70"/>
      <c r="N2" s="70"/>
      <c r="O2" s="70"/>
      <c r="P2" s="70"/>
      <c r="Q2" s="70"/>
      <c r="R2" s="70"/>
      <c r="S2" s="70"/>
    </row>
    <row r="3" spans="1:19" ht="19.5" customHeight="1">
      <c r="A3" s="77" t="s">
        <v>2</v>
      </c>
      <c r="B3" s="70"/>
      <c r="C3" s="70"/>
      <c r="D3" s="70"/>
      <c r="E3" s="70"/>
      <c r="F3" s="70"/>
      <c r="G3" s="70"/>
      <c r="H3" s="70"/>
      <c r="I3" s="70"/>
      <c r="J3" s="70"/>
      <c r="K3" s="70"/>
      <c r="L3" s="70"/>
      <c r="M3" s="70"/>
      <c r="N3" s="70"/>
      <c r="O3" s="70"/>
      <c r="P3" s="70"/>
      <c r="Q3" s="70"/>
      <c r="R3" s="70"/>
      <c r="S3" s="70"/>
    </row>
    <row r="4" spans="1:19" ht="13.9" customHeight="1">
      <c r="A4" s="69" t="s">
        <v>3</v>
      </c>
      <c r="B4" s="111"/>
      <c r="C4" s="62" t="str">
        <f>CONCATENATE(INFO!C2,"/2025")</f>
        <v>32/2025</v>
      </c>
      <c r="D4" s="80"/>
      <c r="E4" s="70"/>
      <c r="F4" s="70"/>
      <c r="G4" s="70"/>
      <c r="H4" s="70"/>
      <c r="I4" s="70"/>
      <c r="J4" s="70"/>
      <c r="K4" s="70"/>
      <c r="L4" s="70"/>
      <c r="M4" s="70"/>
      <c r="N4" s="70"/>
      <c r="O4" s="70"/>
      <c r="P4" s="70"/>
      <c r="Q4" s="70"/>
      <c r="R4" s="70"/>
      <c r="S4" s="70"/>
    </row>
    <row r="5" spans="1:19" ht="15" customHeight="1">
      <c r="A5" s="69" t="s">
        <v>4</v>
      </c>
      <c r="B5" s="111"/>
      <c r="C5" s="1" t="s">
        <v>5</v>
      </c>
      <c r="D5" s="70"/>
      <c r="E5" s="70"/>
      <c r="F5" s="70"/>
      <c r="G5" s="70"/>
      <c r="H5" s="70"/>
      <c r="I5" s="70"/>
      <c r="J5" s="70"/>
      <c r="K5" s="70"/>
      <c r="L5" s="70"/>
      <c r="M5" s="70"/>
      <c r="N5" s="70"/>
      <c r="O5" s="70"/>
      <c r="P5" s="70"/>
      <c r="Q5" s="70"/>
      <c r="R5" s="70"/>
      <c r="S5" s="70"/>
    </row>
    <row r="6" spans="1:19" ht="42.75" customHeight="1">
      <c r="A6" s="85" t="s">
        <v>6</v>
      </c>
      <c r="B6" s="111"/>
      <c r="C6" s="2" t="s">
        <v>7</v>
      </c>
      <c r="D6" s="85" t="s">
        <v>8</v>
      </c>
      <c r="E6" s="112"/>
      <c r="F6" s="111"/>
      <c r="G6" s="87" t="s">
        <v>9</v>
      </c>
      <c r="H6" s="112"/>
      <c r="I6" s="112"/>
      <c r="J6" s="111"/>
      <c r="K6" s="70"/>
      <c r="L6" s="70"/>
      <c r="M6" s="70"/>
      <c r="N6" s="70"/>
      <c r="O6" s="70"/>
      <c r="P6" s="70"/>
      <c r="Q6" s="70"/>
      <c r="R6" s="70"/>
      <c r="S6" s="70"/>
    </row>
    <row r="7" spans="1:19" ht="13.9" customHeight="1">
      <c r="A7" s="81" t="s">
        <v>10</v>
      </c>
      <c r="B7" s="70"/>
      <c r="C7" s="70"/>
      <c r="D7" s="70"/>
      <c r="E7" s="70"/>
      <c r="F7" s="70"/>
      <c r="G7" s="70"/>
      <c r="H7" s="70"/>
      <c r="I7" s="70"/>
      <c r="J7" s="70"/>
      <c r="K7" s="70"/>
      <c r="L7" s="70"/>
      <c r="M7" s="70"/>
      <c r="N7" s="70"/>
      <c r="O7" s="70"/>
      <c r="P7" s="70"/>
      <c r="Q7" s="70"/>
      <c r="R7" s="70"/>
      <c r="S7" s="70"/>
    </row>
    <row r="8" spans="1:19" ht="13.9" customHeight="1">
      <c r="A8" s="60" t="s">
        <v>11</v>
      </c>
      <c r="B8" s="69" t="s">
        <v>12</v>
      </c>
      <c r="C8" s="112"/>
      <c r="D8" s="112"/>
      <c r="E8" s="111"/>
      <c r="F8" s="69" t="s">
        <v>13</v>
      </c>
      <c r="G8" s="112"/>
      <c r="H8" s="111"/>
      <c r="I8" s="69" t="str">
        <f>_xlfn.IFS(A8=Listas!F3,Listas!H10,A8=Listas!F4,Listas!H11,A8=Listas!F5,Listas!H12,A8=Listas!F5,Listas!H13)</f>
        <v>Amparo</v>
      </c>
      <c r="J8" s="111"/>
      <c r="K8" s="70"/>
      <c r="L8" s="70"/>
      <c r="M8" s="70"/>
      <c r="N8" s="70"/>
      <c r="O8" s="70"/>
      <c r="P8" s="70"/>
      <c r="Q8" s="70"/>
      <c r="R8" s="70"/>
      <c r="S8" s="70"/>
    </row>
    <row r="9" spans="1:19" ht="60" customHeight="1">
      <c r="A9" s="3" t="s">
        <v>14</v>
      </c>
      <c r="B9" s="86" t="str">
        <f>_xlfn.IFS(A9=Listas!F4,Listas!H4,A9=Listas!F5,Listas!H5,A9=Listas!F6,Listas!H6)</f>
        <v xml:space="preserve">Atividade realizada por militar da ativa, por meio de designação específica ou como tripulante de embarcação ou aeronave, diretamente relacionada a </v>
      </c>
      <c r="C9" s="70"/>
      <c r="D9" s="70"/>
      <c r="E9" s="70"/>
      <c r="F9" s="75" t="s">
        <v>15</v>
      </c>
      <c r="G9" s="112"/>
      <c r="H9" s="111"/>
      <c r="I9" s="83" t="s">
        <v>16</v>
      </c>
      <c r="J9" s="111"/>
      <c r="K9" s="70"/>
      <c r="L9" s="70"/>
      <c r="M9" s="70"/>
      <c r="N9" s="70"/>
      <c r="O9" s="70"/>
      <c r="P9" s="70"/>
      <c r="Q9" s="70"/>
      <c r="R9" s="70"/>
      <c r="S9" s="70"/>
    </row>
    <row r="10" spans="1:19" ht="13.9" customHeight="1">
      <c r="A10" s="4" t="s">
        <v>17</v>
      </c>
      <c r="B10" s="69" t="s">
        <v>18</v>
      </c>
      <c r="C10" s="60" t="s">
        <v>19</v>
      </c>
      <c r="D10" s="60" t="s">
        <v>20</v>
      </c>
      <c r="E10" s="60" t="s">
        <v>21</v>
      </c>
      <c r="F10" s="60" t="s">
        <v>22</v>
      </c>
      <c r="G10" s="60" t="s">
        <v>23</v>
      </c>
      <c r="H10" s="69" t="s">
        <v>24</v>
      </c>
      <c r="I10" s="112"/>
      <c r="J10" s="111"/>
      <c r="K10" s="70"/>
      <c r="L10" s="70"/>
      <c r="M10" s="70"/>
      <c r="N10" s="70"/>
      <c r="O10" s="70"/>
      <c r="P10" s="70"/>
      <c r="Q10" s="70"/>
      <c r="R10" s="70"/>
      <c r="S10" s="70"/>
    </row>
    <row r="11" spans="1:19" ht="13.9" customHeight="1">
      <c r="A11" s="5" t="s">
        <v>25</v>
      </c>
      <c r="B11" s="113"/>
      <c r="C11" s="62">
        <f>INFO!C4</f>
        <v>22</v>
      </c>
      <c r="D11" s="62">
        <f>INFO!C5</f>
        <v>7</v>
      </c>
      <c r="E11" s="62">
        <f>INFO!C6</f>
        <v>2025</v>
      </c>
      <c r="F11" s="6">
        <f>INFO!C8</f>
        <v>0.29166666666666669</v>
      </c>
      <c r="G11" s="73">
        <f>INFO!C20</f>
        <v>33</v>
      </c>
      <c r="H11" s="73" t="str">
        <f>INFO!C9</f>
        <v xml:space="preserve">BI Nr 182, de 02/10/2025 </v>
      </c>
      <c r="I11" s="112"/>
      <c r="J11" s="111"/>
      <c r="K11" s="70"/>
      <c r="L11" s="70"/>
      <c r="M11" s="70"/>
      <c r="N11" s="70"/>
      <c r="O11" s="70"/>
      <c r="P11" s="70"/>
      <c r="Q11" s="70"/>
      <c r="R11" s="70"/>
      <c r="S11" s="70"/>
    </row>
    <row r="12" spans="1:19" ht="13.9" customHeight="1">
      <c r="A12" s="7" t="s">
        <v>26</v>
      </c>
      <c r="B12" s="69" t="s">
        <v>27</v>
      </c>
      <c r="C12" s="60" t="s">
        <v>19</v>
      </c>
      <c r="D12" s="60" t="s">
        <v>20</v>
      </c>
      <c r="E12" s="60" t="s">
        <v>21</v>
      </c>
      <c r="F12" s="60" t="s">
        <v>22</v>
      </c>
      <c r="G12" s="114"/>
      <c r="H12" s="59"/>
      <c r="I12" s="59"/>
      <c r="J12" s="59"/>
      <c r="K12" s="70"/>
      <c r="L12" s="70"/>
      <c r="M12" s="70"/>
      <c r="N12" s="70"/>
      <c r="O12" s="70"/>
      <c r="P12" s="70"/>
      <c r="Q12" s="70"/>
      <c r="R12" s="70"/>
      <c r="S12" s="70"/>
    </row>
    <row r="13" spans="1:19" ht="13.9" customHeight="1">
      <c r="A13" s="5" t="str">
        <f>INFO!C18</f>
        <v>GUAIRA - PR</v>
      </c>
      <c r="B13" s="113"/>
      <c r="C13" s="62">
        <f>INFO!C12</f>
        <v>23</v>
      </c>
      <c r="D13" s="62">
        <f>INFO!C13</f>
        <v>8</v>
      </c>
      <c r="E13" s="62">
        <f>INFO!C14</f>
        <v>2025</v>
      </c>
      <c r="F13" s="6">
        <f>INFO!C16</f>
        <v>0.70833333333333337</v>
      </c>
      <c r="G13" s="113"/>
      <c r="H13" s="73" t="str">
        <f>INFO!C17</f>
        <v xml:space="preserve">BI Nr 182, de 02/10/2025 </v>
      </c>
      <c r="I13" s="112"/>
      <c r="J13" s="111"/>
      <c r="K13" s="70"/>
      <c r="L13" s="70"/>
      <c r="M13" s="70"/>
      <c r="N13" s="70"/>
      <c r="O13" s="70"/>
      <c r="P13" s="70"/>
      <c r="Q13" s="70"/>
      <c r="R13" s="70"/>
      <c r="S13" s="70"/>
    </row>
    <row r="14" spans="1:19" ht="13.9" customHeight="1">
      <c r="A14" s="78"/>
      <c r="B14" s="70"/>
      <c r="C14" s="70"/>
      <c r="D14" s="70"/>
      <c r="E14" s="70"/>
      <c r="F14" s="70"/>
      <c r="G14" s="70"/>
      <c r="H14" s="70"/>
      <c r="I14" s="70"/>
      <c r="J14" s="70"/>
      <c r="K14" s="70"/>
      <c r="L14" s="70"/>
      <c r="M14" s="70"/>
      <c r="N14" s="70"/>
      <c r="O14" s="70"/>
      <c r="P14" s="70"/>
      <c r="Q14" s="70"/>
      <c r="R14" s="70"/>
      <c r="S14" s="70"/>
    </row>
    <row r="15" spans="1:19" ht="15" customHeight="1">
      <c r="A15" s="80"/>
      <c r="B15" s="82" t="s">
        <v>28</v>
      </c>
      <c r="C15" s="115"/>
      <c r="D15" s="69" t="s">
        <v>29</v>
      </c>
      <c r="E15" s="112"/>
      <c r="F15" s="112"/>
      <c r="G15" s="111"/>
      <c r="H15" s="60" t="s">
        <v>23</v>
      </c>
      <c r="I15" s="60" t="s">
        <v>30</v>
      </c>
      <c r="J15" s="60" t="s">
        <v>31</v>
      </c>
      <c r="K15" s="70"/>
      <c r="L15" s="70"/>
      <c r="M15" s="70"/>
      <c r="N15" s="70"/>
      <c r="O15" s="70"/>
      <c r="P15" s="70"/>
      <c r="Q15" s="70"/>
      <c r="R15" s="70"/>
      <c r="S15" s="70"/>
    </row>
    <row r="16" spans="1:19" ht="15" customHeight="1">
      <c r="A16" s="70"/>
      <c r="B16" s="72"/>
      <c r="C16" s="116"/>
      <c r="D16" s="84"/>
      <c r="E16" s="112"/>
      <c r="F16" s="112"/>
      <c r="G16" s="111"/>
      <c r="H16" s="62">
        <f>$G$11</f>
        <v>33</v>
      </c>
      <c r="I16" s="8" t="e">
        <f>_xlfn.IFS(B16="Gen Bda","261,04",B16="Cel","239,32",B16="Ten Cel","235,12",B16="Maj","231,74",B16="1º Ten","172,32",B16="Cap","190,92",B16="2º Ten","156,54",B16="Asp","152,88",B16="SubTen","128,94",B16="1º Sgt","114,60",B16="2º Sgt","99,70",B16="3º Sgt","79,94",B16="Cb","54,90",B16="Al","27,88",B16="Sd EP","36,88",B16="Sd EV","22,54")</f>
        <v>#N/A</v>
      </c>
      <c r="J16" s="8" t="e">
        <f>H16*I16</f>
        <v>#N/A</v>
      </c>
      <c r="K16" s="70"/>
      <c r="L16" s="70"/>
      <c r="M16" s="70"/>
      <c r="N16" s="70"/>
      <c r="O16" s="70"/>
      <c r="P16" s="70"/>
      <c r="Q16" s="70"/>
      <c r="R16" s="70"/>
      <c r="S16" s="70"/>
    </row>
    <row r="17" spans="1:19" ht="13.9" customHeight="1">
      <c r="A17" s="70"/>
      <c r="B17" s="72"/>
      <c r="C17" s="116"/>
      <c r="D17" s="68"/>
      <c r="E17" s="112"/>
      <c r="F17" s="112"/>
      <c r="G17" s="111"/>
      <c r="H17" s="62">
        <f>$G$11</f>
        <v>33</v>
      </c>
      <c r="I17" s="8" t="e">
        <f>_xlfn.IFS(B17="Gen Bda","261,04",B17="Cel","239,32",B17="Ten Cel","235,12",B17="Maj","231,74",B17="1º Ten","172,32",B17="Cap","190,92",B17="2º Ten","156,54",B17="Asp","152,88",B17="SubTen","128,94",B17="1º Sgt","114,60",B17="2º Sgt","99,70",B17="3º Sgt","79,94",B17="Cb","54,90",B17="Al","27,88",B17="Sd EP","36,88",B17="Sd EV","22,54")</f>
        <v>#N/A</v>
      </c>
      <c r="J17" s="8" t="e">
        <f>H17*I17</f>
        <v>#N/A</v>
      </c>
      <c r="K17" s="70"/>
      <c r="L17" s="70"/>
      <c r="M17" s="70"/>
      <c r="N17" s="70"/>
      <c r="O17" s="70"/>
      <c r="P17" s="70"/>
      <c r="Q17" s="70"/>
      <c r="R17" s="70"/>
      <c r="S17" s="70"/>
    </row>
    <row r="18" spans="1:19" ht="13.9" customHeight="1">
      <c r="A18" s="70"/>
      <c r="B18" s="72"/>
      <c r="C18" s="116"/>
      <c r="D18" s="68"/>
      <c r="E18" s="112"/>
      <c r="F18" s="112"/>
      <c r="G18" s="111"/>
      <c r="H18" s="62">
        <f>$G$11</f>
        <v>33</v>
      </c>
      <c r="I18" s="8" t="e">
        <f>_xlfn.IFS(B18="Gen Bda","261,04",B18="Cel","239,32",B18="Ten Cel","235,12",B18="Maj","231,74",B18="1º Ten","172,32",B18="Cap","190,92",B18="2º Ten","156,54",B18="Asp","152,88",B18="SubTen","128,94",B18="1º Sgt","114,60",B18="2º Sgt","99,70",B18="3º Sgt","79,94",B18="Cb","54,90",B18="Al","27,88",B18="Sd EP","36,88",B18="Sd EV","22,54")</f>
        <v>#N/A</v>
      </c>
      <c r="J18" s="8" t="e">
        <f>H18*I18</f>
        <v>#N/A</v>
      </c>
      <c r="K18" s="70"/>
      <c r="L18" s="70"/>
      <c r="M18" s="70"/>
      <c r="N18" s="70"/>
      <c r="O18" s="70"/>
      <c r="P18" s="70"/>
      <c r="Q18" s="70"/>
      <c r="R18" s="70"/>
      <c r="S18" s="70"/>
    </row>
    <row r="19" spans="1:19" ht="13.5" customHeight="1">
      <c r="B19" s="72"/>
      <c r="C19" s="116"/>
      <c r="D19" s="68"/>
      <c r="E19" s="112"/>
      <c r="F19" s="112"/>
      <c r="G19" s="111"/>
      <c r="H19" s="62">
        <f>$G$11</f>
        <v>33</v>
      </c>
      <c r="I19" s="8" t="e">
        <f>_xlfn.IFS(B19="Gen Bda","261,04",B19="Cel","239,32",B19="Ten Cel","235,12",B19="Maj","231,74",B19="1º Ten","172,32",B19="Cap","190,92",B19="2º Ten","156,54",B19="Asp","152,88",B19="SubTen","128,94",B19="1º Sgt","114,60",B19="2º Sgt","99,70",B19="3º Sgt","79,94",B19="Cb","54,90",B19="Al","27,88",B19="Sd EP","36,88",B19="Sd EV","22,54")</f>
        <v>#N/A</v>
      </c>
      <c r="J19" s="8" t="e">
        <f>H19*I19</f>
        <v>#N/A</v>
      </c>
    </row>
    <row r="20" spans="1:19" ht="13.9" customHeight="1">
      <c r="B20" s="72"/>
      <c r="C20" s="116"/>
      <c r="D20" s="68"/>
      <c r="E20" s="112"/>
      <c r="F20" s="112"/>
      <c r="G20" s="111"/>
      <c r="H20" s="62">
        <f>$G$11</f>
        <v>33</v>
      </c>
      <c r="I20" s="8" t="e">
        <f>_xlfn.IFS(B20="Gen Bda","261,04",B20="Cel","239,32",B20="Ten Cel","235,12",B20="Maj","231,74",B20="1º Ten","172,32",B20="Cap","190,92",B20="2º Ten","156,54",B20="Asp","152,88",B20="SubTen","128,94",B20="1º Sgt","114,60",B20="2º Sgt","99,70",B20="3º Sgt","79,94",B20="Cb","54,90",B20="Al","27,88",B20="Sd EP","36,88",B20="Sd EV","22,54")</f>
        <v>#N/A</v>
      </c>
      <c r="J20" s="8" t="e">
        <f>H20*I20</f>
        <v>#N/A</v>
      </c>
    </row>
    <row r="21" spans="1:19" ht="16.5" customHeight="1">
      <c r="B21" s="72"/>
      <c r="C21" s="116"/>
      <c r="D21" s="68"/>
      <c r="E21" s="112"/>
      <c r="F21" s="112"/>
      <c r="G21" s="111"/>
      <c r="H21" s="62">
        <f>$G$11</f>
        <v>33</v>
      </c>
      <c r="I21" s="8" t="e">
        <f>_xlfn.IFS(B21="Gen Bda","261,04",B21="Cel","239,32",B21="Ten Cel","235,12",B21="Maj","231,74",B21="1º Ten","172,32",B21="Cap","190,92",B21="2º Ten","156,54",B21="Asp","152,88",B21="SubTen","128,94",B21="1º Sgt","114,60",B21="2º Sgt","99,70",B21="3º Sgt","79,94",B21="Cb","54,90",B21="Al","27,88",B21="Sd EP","36,88",B21="Sd EV","22,54")</f>
        <v>#N/A</v>
      </c>
      <c r="J21" s="8" t="e">
        <f>H21*I21</f>
        <v>#N/A</v>
      </c>
    </row>
    <row r="22" spans="1:19" ht="13.5" customHeight="1">
      <c r="B22" s="72"/>
      <c r="C22" s="116"/>
      <c r="D22" s="68"/>
      <c r="E22" s="112"/>
      <c r="F22" s="112"/>
      <c r="G22" s="111"/>
      <c r="H22" s="62">
        <f>$G$11</f>
        <v>33</v>
      </c>
      <c r="I22" s="8" t="e">
        <f>_xlfn.IFS(B22="Gen Bda","261,04",B22="Cel","239,32",B22="Ten Cel","235,12",B22="Maj","231,74",B22="1º Ten","172,32",B22="Cap","190,92",B22="2º Ten","156,54",B22="Asp","152,88",B22="SubTen","128,94",B22="1º Sgt","114,60",B22="2º Sgt","99,70",B22="3º Sgt","79,94",B22="Cb","54,90",B22="Al","27,88",B22="Sd EP","36,88",B22="Sd EV","22,54")</f>
        <v>#N/A</v>
      </c>
      <c r="J22" s="8" t="e">
        <f>H22*I22</f>
        <v>#N/A</v>
      </c>
    </row>
    <row r="23" spans="1:19" ht="13.5" customHeight="1">
      <c r="B23" s="72"/>
      <c r="C23" s="116"/>
      <c r="D23" s="84"/>
      <c r="E23" s="112"/>
      <c r="F23" s="112"/>
      <c r="G23" s="111"/>
      <c r="H23" s="62">
        <f>$G$11</f>
        <v>33</v>
      </c>
      <c r="I23" s="8" t="e">
        <f>_xlfn.IFS(B23="Gen Bda","261,04",B23="Cel","239,32",B23="Ten Cel","235,12",B23="Maj","231,74",B23="1º Ten","172,32",B23="Cap","190,92",B23="2º Ten","156,54",B23="Asp","152,88",B23="SubTen","128,94",B23="1º Sgt","114,60",B23="2º Sgt","99,70",B23="3º Sgt","79,94",B23="Cb","54,90",B23="Al","27,88",B23="Sd EP","36,88",B23="Sd EV","22,54")</f>
        <v>#N/A</v>
      </c>
      <c r="J23" s="8" t="e">
        <f>H23*I23</f>
        <v>#N/A</v>
      </c>
    </row>
    <row r="24" spans="1:19" ht="13.5" customHeight="1">
      <c r="B24" s="72"/>
      <c r="C24" s="116"/>
      <c r="D24" s="68"/>
      <c r="E24" s="112"/>
      <c r="F24" s="112"/>
      <c r="G24" s="111"/>
      <c r="H24" s="62">
        <f>$G$11</f>
        <v>33</v>
      </c>
      <c r="I24" s="8" t="e">
        <f>_xlfn.IFS(B24="Gen Bda","261,04",B24="Cel","239,32",B24="Ten Cel","235,12",B24="Maj","231,74",B24="1º Ten","172,32",B24="Cap","190,92",B24="2º Ten","156,54",B24="Asp","152,88",B24="SubTen","128,94",B24="1º Sgt","114,60",B24="2º Sgt","99,70",B24="3º Sgt","79,94",B24="Cb","54,90",B24="Al","27,88",B24="Sd EP","36,88",B24="Sd EV","22,54")</f>
        <v>#N/A</v>
      </c>
      <c r="J24" s="8" t="e">
        <f>H24*I24</f>
        <v>#N/A</v>
      </c>
    </row>
    <row r="25" spans="1:19" ht="13.5" customHeight="1">
      <c r="B25" s="72"/>
      <c r="C25" s="116"/>
      <c r="D25" s="68"/>
      <c r="E25" s="112"/>
      <c r="F25" s="112"/>
      <c r="G25" s="111"/>
      <c r="H25" s="62">
        <f>$G$11</f>
        <v>33</v>
      </c>
      <c r="I25" s="8" t="e">
        <f>_xlfn.IFS(B25="Gen Bda","261,04",B25="Cel","239,32",B25="Ten Cel","235,12",B25="Maj","231,74",B25="1º Ten","172,32",B25="Cap","190,92",B25="2º Ten","156,54",B25="Asp","152,88",B25="SubTen","128,94",B25="1º Sgt","114,60",B25="2º Sgt","99,70",B25="3º Sgt","79,94",B25="Cb","54,90",B25="Al","27,88",B25="Sd EP","36,88",B25="Sd EV","22,54")</f>
        <v>#N/A</v>
      </c>
      <c r="J25" s="8" t="e">
        <f>H25*I25</f>
        <v>#N/A</v>
      </c>
    </row>
    <row r="26" spans="1:19" ht="13.5" customHeight="1">
      <c r="B26" s="72"/>
      <c r="C26" s="116"/>
      <c r="D26" s="68"/>
      <c r="E26" s="112"/>
      <c r="F26" s="112"/>
      <c r="G26" s="111"/>
      <c r="H26" s="62">
        <f>$G$11</f>
        <v>33</v>
      </c>
      <c r="I26" s="8" t="e">
        <f>_xlfn.IFS(B26="Gen Bda","261,04",B26="Cel","239,32",B26="Ten Cel","235,12",B26="Maj","231,74",B26="1º Ten","172,32",B26="Cap","190,92",B26="2º Ten","156,54",B26="Asp","152,88",B26="SubTen","128,94",B26="1º Sgt","114,60",B26="2º Sgt","99,70",B26="3º Sgt","79,94",B26="Cb","54,90",B26="Al","27,88",B26="Sd EP","36,88",B26="Sd EV","22,54")</f>
        <v>#N/A</v>
      </c>
      <c r="J26" s="8" t="e">
        <f>H26*I26</f>
        <v>#N/A</v>
      </c>
    </row>
    <row r="27" spans="1:19" ht="13.5" customHeight="1">
      <c r="B27" s="72"/>
      <c r="C27" s="116"/>
      <c r="D27" s="84"/>
      <c r="E27" s="112"/>
      <c r="F27" s="112"/>
      <c r="G27" s="111"/>
      <c r="H27" s="62">
        <f>$G$11</f>
        <v>33</v>
      </c>
      <c r="I27" s="8" t="e">
        <f>_xlfn.IFS(B27="Gen Bda","261,04",B27="Cel","239,32",B27="Ten Cel","235,12",B27="Maj","231,74",B27="1º Ten","172,32",B27="Cap","190,92",B27="2º Ten","156,54",B27="Asp","152,88",B27="SubTen","128,94",B27="1º Sgt","114,60",B27="2º Sgt","99,70",B27="3º Sgt","79,94",B27="Cb","54,90",B27="Al","27,88",B27="Sd EP","36,88",B27="Sd EV","22,54")</f>
        <v>#N/A</v>
      </c>
      <c r="J27" s="8" t="e">
        <f>H27*I27</f>
        <v>#N/A</v>
      </c>
    </row>
    <row r="28" spans="1:19" ht="13.5" customHeight="1">
      <c r="B28" s="72"/>
      <c r="C28" s="116"/>
      <c r="D28" s="68"/>
      <c r="E28" s="112"/>
      <c r="F28" s="112"/>
      <c r="G28" s="111"/>
      <c r="H28" s="62">
        <f>$G$11</f>
        <v>33</v>
      </c>
      <c r="I28" s="8" t="e">
        <f>_xlfn.IFS(B28="Gen Bda","261,04",B28="Cel","239,32",B28="Ten Cel","235,12",B28="Maj","231,74",B28="1º Ten","172,32",B28="Cap","190,92",B28="2º Ten","156,54",B28="Asp","152,88",B28="SubTen","128,94",B28="1º Sgt","114,60",B28="2º Sgt","99,70",B28="3º Sgt","79,94",B28="Cb","54,90",B28="Al","27,88",B28="Sd EP","36,88",B28="Sd EV","22,54")</f>
        <v>#N/A</v>
      </c>
      <c r="J28" s="8" t="e">
        <f>H28*I28</f>
        <v>#N/A</v>
      </c>
    </row>
    <row r="29" spans="1:19" ht="13.5" customHeight="1">
      <c r="B29" s="72"/>
      <c r="C29" s="116"/>
      <c r="D29" s="84"/>
      <c r="E29" s="112"/>
      <c r="F29" s="112"/>
      <c r="G29" s="111"/>
      <c r="H29" s="62">
        <f>$G$11</f>
        <v>33</v>
      </c>
      <c r="I29" s="8" t="e">
        <f>_xlfn.IFS(B29="Gen Bda","261,04",B29="Cel","239,32",B29="Ten Cel","235,12",B29="Maj","231,74",B29="1º Ten","172,32",B29="Cap","190,92",B29="2º Ten","156,54",B29="Asp","152,88",B29="SubTen","128,94",B29="1º Sgt","114,60",B29="2º Sgt","99,70",B29="3º Sgt","79,94",B29="Cb","54,90",B29="Al","27,88",B29="Sd EP","36,88",B29="Sd EV","22,54")</f>
        <v>#N/A</v>
      </c>
      <c r="J29" s="8" t="e">
        <f>H29*I29</f>
        <v>#N/A</v>
      </c>
    </row>
    <row r="30" spans="1:19" ht="13.5" customHeight="1">
      <c r="B30" s="72"/>
      <c r="C30" s="116"/>
      <c r="D30" s="68"/>
      <c r="E30" s="112"/>
      <c r="F30" s="112"/>
      <c r="G30" s="111"/>
      <c r="H30" s="62">
        <f>$G$11</f>
        <v>33</v>
      </c>
      <c r="I30" s="8" t="e">
        <f>_xlfn.IFS(B30="Gen Bda","261,04",B30="Cel","239,32",B30="Ten Cel","235,12",B30="Maj","231,74",B30="1º Ten","172,32",B30="Cap","190,92",B30="2º Ten","156,54",B30="Asp","152,88",B30="SubTen","128,94",B30="1º Sgt","114,60",B30="2º Sgt","99,70",B30="3º Sgt","79,94",B30="Cb","54,90",B30="Al","27,88",B30="Sd EP","36,88",B30="Sd EV","22,54")</f>
        <v>#N/A</v>
      </c>
      <c r="J30" s="8" t="e">
        <f>H30*I30</f>
        <v>#N/A</v>
      </c>
    </row>
    <row r="31" spans="1:19" ht="13.5" customHeight="1">
      <c r="B31" s="72"/>
      <c r="C31" s="116"/>
      <c r="D31" s="68"/>
      <c r="E31" s="112"/>
      <c r="F31" s="112"/>
      <c r="G31" s="111"/>
      <c r="H31" s="62">
        <f>$G$11</f>
        <v>33</v>
      </c>
      <c r="I31" s="8" t="e">
        <f>_xlfn.IFS(B31="Gen Bda","261,04",B31="Cel","239,32",B31="Ten Cel","235,12",B31="Maj","231,74",B31="1º Ten","172,32",B31="Cap","190,92",B31="2º Ten","156,54",B31="Asp","152,88",B31="SubTen","128,94",B31="1º Sgt","114,60",B31="2º Sgt","99,70",B31="3º Sgt","79,94",B31="Cb","54,90",B31="Al","27,88",B31="Sd EP","36,88",B31="Sd EV","22,54")</f>
        <v>#N/A</v>
      </c>
      <c r="J31" s="8" t="e">
        <f>H31*I31</f>
        <v>#N/A</v>
      </c>
    </row>
    <row r="32" spans="1:19" ht="13.5" customHeight="1">
      <c r="B32" s="72"/>
      <c r="C32" s="116"/>
      <c r="D32" s="68"/>
      <c r="E32" s="112"/>
      <c r="F32" s="112"/>
      <c r="G32" s="111"/>
      <c r="H32" s="62">
        <f>$G$11</f>
        <v>33</v>
      </c>
      <c r="I32" s="8" t="e">
        <f>_xlfn.IFS(B32="Gen Bda","261,04",B32="Cel","239,32",B32="Ten Cel","235,12",B32="Maj","231,74",B32="1º Ten","172,32",B32="Cap","190,92",B32="2º Ten","156,54",B32="Asp","152,88",B32="SubTen","128,94",B32="1º Sgt","114,60",B32="2º Sgt","99,70",B32="3º Sgt","79,94",B32="Cb","54,90",B32="Al","27,88",B32="Sd EP","36,88",B32="Sd EV","22,54")</f>
        <v>#N/A</v>
      </c>
      <c r="J32" s="8" t="e">
        <f>H32*I32</f>
        <v>#N/A</v>
      </c>
    </row>
    <row r="33" spans="2:10" ht="13.5" customHeight="1">
      <c r="B33" s="76"/>
      <c r="C33" s="117"/>
      <c r="D33" s="79"/>
      <c r="E33" s="112"/>
      <c r="F33" s="112"/>
      <c r="G33" s="111"/>
      <c r="H33" s="62">
        <f>$G$11</f>
        <v>33</v>
      </c>
      <c r="I33" s="8" t="e">
        <f>_xlfn.IFS(B33="Gen Bda","261,04",B33="Cel","239,32",B33="Ten Cel","235,12",B33="Maj","231,74",B33="1º Ten","172,32",B33="Cap","190,92",B33="2º Ten","156,54",B33="Asp","152,88",B33="SubTen","128,94",B33="1º Sgt","114,60",B33="2º Sgt","99,70",B33="3º Sgt","79,94",B33="Cb","54,90",B33="Al","27,88",B33="Sd EP","36,88",B33="Sd EV","22,54")</f>
        <v>#N/A</v>
      </c>
      <c r="J33" s="8" t="e">
        <f>H33*I33</f>
        <v>#N/A</v>
      </c>
    </row>
    <row r="34" spans="2:10" ht="13.5" customHeight="1">
      <c r="B34" s="74"/>
      <c r="C34" s="111"/>
      <c r="D34" s="79"/>
      <c r="E34" s="112"/>
      <c r="F34" s="112"/>
      <c r="G34" s="111"/>
      <c r="H34" s="62">
        <f>$G$11</f>
        <v>33</v>
      </c>
      <c r="I34" s="8" t="e">
        <f>_xlfn.IFS(B34="Gen Bda","261,04",B34="Cel","239,32",B34="Ten Cel","235,12",B34="Maj","231,74",B34="1º Ten","172,32",B34="Cap","190,92",B34="2º Ten","156,54",B34="Asp","152,88",B34="SubTen","128,94",B34="1º Sgt","114,60",B34="2º Sgt","99,70",B34="3º Sgt","79,94",B34="Cb","54,90",B34="Al","27,88",B34="Sd EP","36,88",B34="Sd EV","22,54")</f>
        <v>#N/A</v>
      </c>
      <c r="J34" s="8" t="e">
        <f>H34*I34</f>
        <v>#N/A</v>
      </c>
    </row>
    <row r="35" spans="2:10" ht="13.5" customHeight="1">
      <c r="B35" s="74"/>
      <c r="C35" s="111"/>
      <c r="D35" s="79"/>
      <c r="E35" s="112"/>
      <c r="F35" s="112"/>
      <c r="G35" s="111"/>
      <c r="H35" s="62">
        <f>$G$11</f>
        <v>33</v>
      </c>
      <c r="I35" s="8" t="e">
        <f>_xlfn.IFS(B35="Gen Bda","261,04",B35="Cel","239,32",B35="Ten Cel","235,12",B35="Maj","231,74",B35="1º Ten","172,32",B35="Cap","190,92",B35="2º Ten","156,54",B35="Asp","152,88",B35="SubTen","128,94",B35="1º Sgt","114,60",B35="2º Sgt","99,70",B35="3º Sgt","79,94",B35="Cb","54,90",B35="Al","27,88",B35="Sd EP","36,88",B35="Sd EV","22,54")</f>
        <v>#N/A</v>
      </c>
      <c r="J35" s="8" t="e">
        <f>H35*I35</f>
        <v>#N/A</v>
      </c>
    </row>
    <row r="36" spans="2:10" ht="13.5" customHeight="1">
      <c r="B36" s="74"/>
      <c r="C36" s="111"/>
      <c r="D36" s="79"/>
      <c r="E36" s="112"/>
      <c r="F36" s="112"/>
      <c r="G36" s="111"/>
      <c r="H36" s="62">
        <f>$G$11</f>
        <v>33</v>
      </c>
      <c r="I36" s="8" t="e">
        <f>_xlfn.IFS(B36="Gen Bda","261,04",B36="Cel","239,32",B36="Ten Cel","235,12",B36="Maj","231,74",B36="1º Ten","172,32",B36="Cap","190,92",B36="2º Ten","156,54",B36="Asp","152,88",B36="SubTen","128,94",B36="1º Sgt","114,60",B36="2º Sgt","99,70",B36="3º Sgt","79,94",B36="Cb","54,90",B36="Al","27,88",B36="Sd EP","36,88",B36="Sd EV","22,54")</f>
        <v>#N/A</v>
      </c>
      <c r="J36" s="8" t="e">
        <f>H36*I36</f>
        <v>#N/A</v>
      </c>
    </row>
    <row r="37" spans="2:10" ht="13.5" customHeight="1">
      <c r="B37" s="74"/>
      <c r="C37" s="111"/>
      <c r="D37" s="79"/>
      <c r="E37" s="112"/>
      <c r="F37" s="112"/>
      <c r="G37" s="111"/>
      <c r="H37" s="62">
        <f>$G$11</f>
        <v>33</v>
      </c>
      <c r="I37" s="8" t="e">
        <f>_xlfn.IFS(B37="Gen Bda","261,04",B37="Cel","239,32",B37="Ten Cel","235,12",B37="Maj","231,74",B37="1º Ten","172,32",B37="Cap","190,92",B37="2º Ten","156,54",B37="Asp","152,88",B37="SubTen","128,94",B37="1º Sgt","114,60",B37="2º Sgt","99,70",B37="3º Sgt","79,94",B37="Cb","54,90",B37="Al","27,88",B37="Sd EP","36,88",B37="Sd EV","22,54")</f>
        <v>#N/A</v>
      </c>
      <c r="J37" s="8" t="e">
        <f>H37*I37</f>
        <v>#N/A</v>
      </c>
    </row>
    <row r="38" spans="2:10" ht="13.5" customHeight="1">
      <c r="B38" s="74"/>
      <c r="C38" s="111"/>
      <c r="D38" s="79"/>
      <c r="E38" s="112"/>
      <c r="F38" s="112"/>
      <c r="G38" s="111"/>
      <c r="H38" s="62">
        <f>$G$11</f>
        <v>33</v>
      </c>
      <c r="I38" s="8" t="e">
        <f>_xlfn.IFS(B38="Gen Bda","261,04",B38="Cel","239,32",B38="Ten Cel","235,12",B38="Maj","231,74",B38="1º Ten","172,32",B38="Cap","190,92",B38="2º Ten","156,54",B38="Asp","152,88",B38="SubTen","128,94",B38="1º Sgt","114,60",B38="2º Sgt","99,70",B38="3º Sgt","79,94",B38="Cb","54,90",B38="Al","27,88",B38="Sd EP","36,88",B38="Sd EV","22,54")</f>
        <v>#N/A</v>
      </c>
      <c r="J38" s="8" t="e">
        <f>H38*I38</f>
        <v>#N/A</v>
      </c>
    </row>
    <row r="39" spans="2:10" ht="13.5" customHeight="1">
      <c r="B39" s="74"/>
      <c r="C39" s="111"/>
      <c r="D39" s="71"/>
      <c r="E39" s="112"/>
      <c r="F39" s="112"/>
      <c r="G39" s="111"/>
      <c r="H39" s="62">
        <f>$G$11</f>
        <v>33</v>
      </c>
      <c r="I39" s="8" t="e">
        <f>_xlfn.IFS(B39="Gen Bda","261,04",B39="Cel","239,32",B39="Ten Cel","235,12",B39="Maj","231,74",B39="1º Ten","172,32",B39="Cap","190,92",B39="2º Ten","156,54",B39="Asp","152,88",B39="SubTen","128,94",B39="1º Sgt","114,60",B39="2º Sgt","99,70",B39="3º Sgt","79,94",B39="Cb","54,90",B39="Al","27,88",B39="Sd EP","36,88",B39="Sd EV","22,54")</f>
        <v>#N/A</v>
      </c>
      <c r="J39" s="8" t="e">
        <f>H39*I39</f>
        <v>#N/A</v>
      </c>
    </row>
    <row r="40" spans="2:10" ht="13.5" customHeight="1">
      <c r="B40" s="74"/>
      <c r="C40" s="111"/>
      <c r="D40" s="79"/>
      <c r="E40" s="112"/>
      <c r="F40" s="112"/>
      <c r="G40" s="111"/>
      <c r="H40" s="62">
        <f>$G$11</f>
        <v>33</v>
      </c>
      <c r="I40" s="8" t="e">
        <f>_xlfn.IFS(B40="Gen Bda","261,04",B40="Cel","239,32",B40="Ten Cel","235,12",B40="Maj","231,74",B40="1º Ten","172,32",B40="Cap","190,92",B40="2º Ten","156,54",B40="Asp","152,88",B40="SubTen","128,94",B40="1º Sgt","114,60",B40="2º Sgt","99,70",B40="3º Sgt","79,94",B40="Cb","54,90",B40="Al","27,88",B40="Sd EP","36,88",B40="Sd EV","22,54")</f>
        <v>#N/A</v>
      </c>
      <c r="J40" s="8" t="e">
        <f>H40*I40</f>
        <v>#N/A</v>
      </c>
    </row>
    <row r="41" spans="2:10" ht="13.5" customHeight="1">
      <c r="B41" s="74"/>
      <c r="C41" s="111"/>
      <c r="D41" s="79"/>
      <c r="E41" s="112"/>
      <c r="F41" s="112"/>
      <c r="G41" s="111"/>
      <c r="H41" s="62">
        <f>$G$11</f>
        <v>33</v>
      </c>
      <c r="I41" s="8" t="e">
        <f>_xlfn.IFS(B41="Gen Bda","261,04",B41="Cel","239,32",B41="Ten Cel","235,12",B41="Maj","231,74",B41="1º Ten","172,32",B41="Cap","190,92",B41="2º Ten","156,54",B41="Asp","152,88",B41="SubTen","128,94",B41="1º Sgt","114,60",B41="2º Sgt","99,70",B41="3º Sgt","79,94",B41="Cb","54,90",B41="Al","27,88",B41="Sd EP","36,88",B41="Sd EV","22,54")</f>
        <v>#N/A</v>
      </c>
      <c r="J41" s="8" t="e">
        <f>H41*I41</f>
        <v>#N/A</v>
      </c>
    </row>
    <row r="42" spans="2:10" ht="13.5" customHeight="1">
      <c r="B42" s="74"/>
      <c r="C42" s="111"/>
      <c r="D42" s="71"/>
      <c r="E42" s="112"/>
      <c r="F42" s="112"/>
      <c r="G42" s="111"/>
      <c r="H42" s="62">
        <f>$G$11</f>
        <v>33</v>
      </c>
      <c r="I42" s="8" t="e">
        <f>_xlfn.IFS(B42="Gen Bda","261,04",B42="Cel","239,32",B42="Ten Cel","235,12",B42="Maj","231,74",B42="1º Ten","172,32",B42="Cap","190,92",B42="2º Ten","156,54",B42="Asp","152,88",B42="SubTen","128,94",B42="1º Sgt","114,60",B42="2º Sgt","99,70",B42="3º Sgt","79,94",B42="Cb","54,90",B42="Al","27,88",B42="Sd EP","36,88",B42="Sd EV","22,54")</f>
        <v>#N/A</v>
      </c>
      <c r="J42" s="8" t="e">
        <f>H42*I42</f>
        <v>#N/A</v>
      </c>
    </row>
    <row r="43" spans="2:10" ht="13.5" customHeight="1">
      <c r="B43" s="74"/>
      <c r="C43" s="111"/>
      <c r="D43" s="71"/>
      <c r="E43" s="112"/>
      <c r="F43" s="112"/>
      <c r="G43" s="111"/>
      <c r="H43" s="62">
        <f>$G$11</f>
        <v>33</v>
      </c>
      <c r="I43" s="8" t="e">
        <f>_xlfn.IFS(B43="Gen Bda","261,04",B43="Cel","239,32",B43="Ten Cel","235,12",B43="Maj","231,74",B43="1º Ten","172,32",B43="Cap","190,92",B43="2º Ten","156,54",B43="Asp","152,88",B43="SubTen","128,94",B43="1º Sgt","114,60",B43="2º Sgt","99,70",B43="3º Sgt","79,94",B43="Cb","54,90",B43="Al","27,88",B43="Sd EP","36,88",B43="Sd EV","22,54")</f>
        <v>#N/A</v>
      </c>
      <c r="J43" s="8" t="e">
        <f>H43*I43</f>
        <v>#N/A</v>
      </c>
    </row>
    <row r="44" spans="2:10" ht="13.5" customHeight="1">
      <c r="B44" s="74"/>
      <c r="C44" s="111"/>
      <c r="D44" s="71"/>
      <c r="E44" s="112"/>
      <c r="F44" s="112"/>
      <c r="G44" s="111"/>
      <c r="H44" s="62">
        <f>$G$11</f>
        <v>33</v>
      </c>
      <c r="I44" s="8" t="e">
        <f>_xlfn.IFS(B44="Gen Bda","261,04",B44="Cel","239,32",B44="Ten Cel","235,12",B44="Maj","231,74",B44="1º Ten","172,32",B44="Cap","190,92",B44="2º Ten","156,54",B44="Asp","152,88",B44="SubTen","128,94",B44="1º Sgt","114,60",B44="2º Sgt","99,70",B44="3º Sgt","79,94",B44="Cb","54,90",B44="Al","27,88",B44="Sd EP","36,88",B44="Sd EV","22,54")</f>
        <v>#N/A</v>
      </c>
      <c r="J44" s="8" t="e">
        <f>H44*I44</f>
        <v>#N/A</v>
      </c>
    </row>
    <row r="45" spans="2:10" ht="13.5" customHeight="1">
      <c r="B45" s="74"/>
      <c r="C45" s="111"/>
      <c r="D45" s="71"/>
      <c r="E45" s="112"/>
      <c r="F45" s="112"/>
      <c r="G45" s="111"/>
      <c r="H45" s="62">
        <f>$G$11</f>
        <v>33</v>
      </c>
      <c r="I45" s="8" t="e">
        <f>_xlfn.IFS(B45="Gen Bda","261,04",B45="Cel","239,32",B45="Ten Cel","235,12",B45="Maj","231,74",B45="1º Ten","172,32",B45="Cap","190,92",B45="2º Ten","156,54",B45="Asp","152,88",B45="SubTen","128,94",B45="1º Sgt","114,60",B45="2º Sgt","99,70",B45="3º Sgt","79,94",B45="Cb","54,90",B45="Al","27,88",B45="Sd EP","36,88",B45="Sd EV","22,54")</f>
        <v>#N/A</v>
      </c>
      <c r="J45" s="8" t="e">
        <f>H45*I45</f>
        <v>#N/A</v>
      </c>
    </row>
    <row r="46" spans="2:10" ht="13.5" customHeight="1">
      <c r="B46" s="74"/>
      <c r="C46" s="111"/>
      <c r="D46" s="71"/>
      <c r="E46" s="112"/>
      <c r="F46" s="112"/>
      <c r="G46" s="111"/>
      <c r="H46" s="62">
        <f>$G$11</f>
        <v>33</v>
      </c>
      <c r="I46" s="8" t="e">
        <f>_xlfn.IFS(B46="Gen Bda","261,04",B46="Cel","239,32",B46="Ten Cel","235,12",B46="Maj","231,74",B46="1º Ten","172,32",B46="Cap","190,92",B46="2º Ten","156,54",B46="Asp","152,88",B46="SubTen","128,94",B46="1º Sgt","114,60",B46="2º Sgt","99,70",B46="3º Sgt","79,94",B46="Cb","54,90",B46="Al","27,88",B46="Sd EP","36,88",B46="Sd EV","22,54")</f>
        <v>#N/A</v>
      </c>
      <c r="J46" s="8" t="e">
        <f>H46*I46</f>
        <v>#N/A</v>
      </c>
    </row>
    <row r="47" spans="2:10" ht="13.5" customHeight="1">
      <c r="B47" s="74"/>
      <c r="C47" s="111"/>
      <c r="D47" s="71"/>
      <c r="E47" s="112"/>
      <c r="F47" s="112"/>
      <c r="G47" s="111"/>
      <c r="H47" s="62">
        <f>$G$11</f>
        <v>33</v>
      </c>
      <c r="I47" s="8" t="e">
        <f>_xlfn.IFS(B47="Gen Bda","261,04",B47="Cel","239,32",B47="Ten Cel","235,12",B47="Maj","231,74",B47="1º Ten","172,32",B47="Cap","190,92",B47="2º Ten","156,54",B47="Asp","152,88",B47="SubTen","128,94",B47="1º Sgt","114,60",B47="2º Sgt","99,70",B47="3º Sgt","79,94",B47="Cb","54,90",B47="Al","27,88",B47="Sd EP","36,88",B47="Sd EV","22,54")</f>
        <v>#N/A</v>
      </c>
      <c r="J47" s="8" t="e">
        <f>H47*I47</f>
        <v>#N/A</v>
      </c>
    </row>
    <row r="48" spans="2:10" ht="13.5" customHeight="1">
      <c r="B48" s="74"/>
      <c r="C48" s="111"/>
      <c r="D48" s="71"/>
      <c r="E48" s="112"/>
      <c r="F48" s="112"/>
      <c r="G48" s="111"/>
      <c r="H48" s="62">
        <f>$G$11</f>
        <v>33</v>
      </c>
      <c r="I48" s="8" t="e">
        <f>_xlfn.IFS(B48="Gen Bda","261,04",B48="Cel","239,32",B48="Ten Cel","235,12",B48="Maj","231,74",B48="1º Ten","172,32",B48="Cap","190,92",B48="2º Ten","156,54",B48="Asp","152,88",B48="SubTen","128,94",B48="1º Sgt","114,60",B48="2º Sgt","99,70",B48="3º Sgt","79,94",B48="Cb","54,90",B48="Al","27,88",B48="Sd EP","36,88",B48="Sd EV","22,54")</f>
        <v>#N/A</v>
      </c>
      <c r="J48" s="8" t="e">
        <f>H48*I48</f>
        <v>#N/A</v>
      </c>
    </row>
    <row r="49" spans="2:10" ht="13.5" customHeight="1">
      <c r="B49" s="74"/>
      <c r="C49" s="111"/>
      <c r="D49" s="71"/>
      <c r="E49" s="112"/>
      <c r="F49" s="112"/>
      <c r="G49" s="111"/>
      <c r="H49" s="62">
        <f>$G$11</f>
        <v>33</v>
      </c>
      <c r="I49" s="8" t="e">
        <f>_xlfn.IFS(B49="Gen Bda","261,04",B49="Cel","239,32",B49="Ten Cel","235,12",B49="Maj","231,74",B49="1º Ten","172,32",B49="Cap","190,92",B49="2º Ten","156,54",B49="Asp","152,88",B49="SubTen","128,94",B49="1º Sgt","114,60",B49="2º Sgt","99,70",B49="3º Sgt","79,94",B49="Cb","54,90",B49="Al","27,88",B49="Sd EP","36,88",B49="Sd EV","22,54")</f>
        <v>#N/A</v>
      </c>
      <c r="J49" s="8" t="e">
        <f>H49*I49</f>
        <v>#N/A</v>
      </c>
    </row>
    <row r="50" spans="2:10" ht="13.5" customHeight="1">
      <c r="B50" s="74"/>
      <c r="C50" s="111"/>
      <c r="D50" s="71"/>
      <c r="E50" s="112"/>
      <c r="F50" s="112"/>
      <c r="G50" s="111"/>
      <c r="H50" s="62">
        <f>$G$11</f>
        <v>33</v>
      </c>
      <c r="I50" s="8" t="e">
        <f>_xlfn.IFS(B50="Gen Bda","261,04",B50="Cel","239,32",B50="Ten Cel","235,12",B50="Maj","231,74",B50="1º Ten","172,32",B50="Cap","190,92",B50="2º Ten","156,54",B50="Asp","152,88",B50="SubTen","128,94",B50="1º Sgt","114,60",B50="2º Sgt","99,70",B50="3º Sgt","79,94",B50="Cb","54,90",B50="Al","27,88",B50="Sd EP","36,88",B50="Sd EV","22,54")</f>
        <v>#N/A</v>
      </c>
      <c r="J50" s="8" t="e">
        <f>H50*I50</f>
        <v>#N/A</v>
      </c>
    </row>
    <row r="51" spans="2:10" ht="13.5" customHeight="1">
      <c r="B51" s="74"/>
      <c r="C51" s="111"/>
      <c r="D51" s="71"/>
      <c r="E51" s="112"/>
      <c r="F51" s="112"/>
      <c r="G51" s="111"/>
      <c r="H51" s="62">
        <f>$G$11</f>
        <v>33</v>
      </c>
      <c r="I51" s="8" t="e">
        <f>_xlfn.IFS(B51="Gen Bda","261,04",B51="Cel","239,32",B51="Ten Cel","235,12",B51="Maj","231,74",B51="1º Ten","172,32",B51="Cap","190,92",B51="2º Ten","156,54",B51="Asp","152,88",B51="SubTen","128,94",B51="1º Sgt","114,60",B51="2º Sgt","99,70",B51="3º Sgt","79,94",B51="Cb","54,90",B51="Al","27,88",B51="Sd EP","36,88",B51="Sd EV","22,54")</f>
        <v>#N/A</v>
      </c>
      <c r="J51" s="8" t="e">
        <f>H51*I51</f>
        <v>#N/A</v>
      </c>
    </row>
    <row r="52" spans="2:10" ht="13.5" customHeight="1">
      <c r="B52" s="74"/>
      <c r="C52" s="111"/>
      <c r="D52" s="71"/>
      <c r="E52" s="112"/>
      <c r="F52" s="112"/>
      <c r="G52" s="111"/>
      <c r="H52" s="62">
        <f>$G$11</f>
        <v>33</v>
      </c>
      <c r="I52" s="8" t="e">
        <f>_xlfn.IFS(B52="Gen Bda","261,04",B52="Cel","239,32",B52="Ten Cel","235,12",B52="Maj","231,74",B52="1º Ten","172,32",B52="Cap","190,92",B52="2º Ten","156,54",B52="Asp","152,88",B52="SubTen","128,94",B52="1º Sgt","114,60",B52="2º Sgt","99,70",B52="3º Sgt","79,94",B52="Cb","54,90",B52="Al","27,88",B52="Sd EP","36,88",B52="Sd EV","22,54")</f>
        <v>#N/A</v>
      </c>
      <c r="J52" s="8" t="e">
        <f>H52*I52</f>
        <v>#N/A</v>
      </c>
    </row>
    <row r="53" spans="2:10" ht="15" customHeight="1">
      <c r="B53" s="74"/>
      <c r="C53" s="111"/>
      <c r="D53" s="71"/>
      <c r="E53" s="112"/>
      <c r="F53" s="112"/>
      <c r="G53" s="111"/>
      <c r="H53" s="62">
        <f>$G$11</f>
        <v>33</v>
      </c>
      <c r="I53" s="8" t="e">
        <f>_xlfn.IFS(B53="Gen Bda","261,04",B53="Cel","239,32",B53="Ten Cel","235,12",B53="Maj","231,74",B53="1º Ten","172,32",B53="Cap","190,92",B53="2º Ten","156,54",B53="Asp","152,88",B53="SubTen","128,94",B53="1º Sgt","114,60",B53="2º Sgt","99,70",B53="3º Sgt","79,94",B53="Cb","54,90",B53="Al","27,88",B53="Sd EP","36,88",B53="Sd EV","22,54")</f>
        <v>#N/A</v>
      </c>
      <c r="J53" s="8" t="e">
        <f>H53*I53</f>
        <v>#N/A</v>
      </c>
    </row>
    <row r="54" spans="2:10" ht="15" customHeight="1">
      <c r="B54" s="74"/>
      <c r="C54" s="111"/>
      <c r="D54" s="71"/>
      <c r="E54" s="112"/>
      <c r="F54" s="112"/>
      <c r="G54" s="111"/>
      <c r="H54" s="62">
        <f>$G$11</f>
        <v>33</v>
      </c>
      <c r="I54" s="8" t="e">
        <f>_xlfn.IFS(B54="Gen Bda","261,04",B54="Cel","239,32",B54="Ten Cel","235,12",B54="Maj","231,74",B54="1º Ten","172,32",B54="Cap","190,92",B54="2º Ten","156,54",B54="Asp","152,88",B54="SubTen","128,94",B54="1º Sgt","114,60",B54="2º Sgt","99,70",B54="3º Sgt","79,94",B54="Cb","54,90",B54="Al","27,88",B54="Sd EP","36,88",B54="Sd EV","22,54")</f>
        <v>#N/A</v>
      </c>
      <c r="J54" s="8" t="e">
        <f>H54*I54</f>
        <v>#N/A</v>
      </c>
    </row>
    <row r="55" spans="2:10" ht="15" customHeight="1">
      <c r="B55" s="74"/>
      <c r="C55" s="111"/>
      <c r="D55" s="71"/>
      <c r="E55" s="112"/>
      <c r="F55" s="112"/>
      <c r="G55" s="111"/>
      <c r="H55" s="62">
        <f>$G$11</f>
        <v>33</v>
      </c>
      <c r="I55" s="8" t="e">
        <f>_xlfn.IFS(B55="Gen Bda","261,04",B55="Cel","239,32",B55="Ten Cel","235,12",B55="Maj","231,74",B55="1º Ten","172,32",B55="Cap","190,92",B55="2º Ten","156,54",B55="Asp","152,88",B55="SubTen","128,94",B55="1º Sgt","114,60",B55="2º Sgt","99,70",B55="3º Sgt","79,94",B55="Cb","54,90",B55="Al","27,88",B55="Sd EP","36,88",B55="Sd EV","22,54")</f>
        <v>#N/A</v>
      </c>
      <c r="J55" s="8" t="e">
        <f>H55*I55</f>
        <v>#N/A</v>
      </c>
    </row>
    <row r="56" spans="2:10" ht="15" customHeight="1">
      <c r="B56" s="74"/>
      <c r="C56" s="111"/>
      <c r="D56" s="71"/>
      <c r="E56" s="112"/>
      <c r="F56" s="112"/>
      <c r="G56" s="111"/>
      <c r="H56" s="62">
        <f>$G$11</f>
        <v>33</v>
      </c>
      <c r="I56" s="8" t="e">
        <f>_xlfn.IFS(B56="Gen Bda","261,04",B56="Cel","239,32",B56="Ten Cel","235,12",B56="Maj","231,74",B56="1º Ten","172,32",B56="Cap","190,92",B56="2º Ten","156,54",B56="Asp","152,88",B56="SubTen","128,94",B56="1º Sgt","114,60",B56="2º Sgt","99,70",B56="3º Sgt","79,94",B56="Cb","54,90",B56="Al","27,88",B56="Sd EP","36,88",B56="Sd EV","22,54")</f>
        <v>#N/A</v>
      </c>
      <c r="J56" s="8" t="e">
        <f>H56*I56</f>
        <v>#N/A</v>
      </c>
    </row>
    <row r="57" spans="2:10" ht="15" customHeight="1">
      <c r="B57" s="74"/>
      <c r="C57" s="111"/>
      <c r="D57" s="71"/>
      <c r="E57" s="112"/>
      <c r="F57" s="112"/>
      <c r="G57" s="111"/>
      <c r="H57" s="62">
        <f>$G$11</f>
        <v>33</v>
      </c>
      <c r="I57" s="8" t="e">
        <f>_xlfn.IFS(B57="Gen Bda","261,04",B57="Cel","239,32",B57="Ten Cel","235,12",B57="Maj","231,74",B57="1º Ten","172,32",B57="Cap","190,92",B57="2º Ten","156,54",B57="Asp","152,88",B57="SubTen","128,94",B57="1º Sgt","114,60",B57="2º Sgt","99,70",B57="3º Sgt","79,94",B57="Cb","54,90",B57="Al","27,88",B57="Sd EP","36,88",B57="Sd EV","22,54")</f>
        <v>#N/A</v>
      </c>
      <c r="J57" s="8" t="e">
        <f>H57*I57</f>
        <v>#N/A</v>
      </c>
    </row>
    <row r="58" spans="2:10" ht="15" customHeight="1">
      <c r="B58" s="74"/>
      <c r="C58" s="111"/>
      <c r="D58" s="71"/>
      <c r="E58" s="112"/>
      <c r="F58" s="112"/>
      <c r="G58" s="111"/>
      <c r="H58" s="62">
        <f>$G$11</f>
        <v>33</v>
      </c>
      <c r="I58" s="8" t="e">
        <f>_xlfn.IFS(B58="Gen Bda","261,04",B58="Cel","239,32",B58="Ten Cel","235,12",B58="Maj","231,74",B58="1º Ten","172,32",B58="Cap","190,92",B58="2º Ten","156,54",B58="Asp","152,88",B58="SubTen","128,94",B58="1º Sgt","114,60",B58="2º Sgt","99,70",B58="3º Sgt","79,94",B58="Cb","54,90",B58="Al","27,88",B58="Sd EP","36,88",B58="Sd EV","22,54")</f>
        <v>#N/A</v>
      </c>
      <c r="J58" s="8" t="e">
        <f>H58*I58</f>
        <v>#N/A</v>
      </c>
    </row>
    <row r="59" spans="2:10" ht="15" customHeight="1">
      <c r="B59" s="74"/>
      <c r="C59" s="111"/>
      <c r="D59" s="71"/>
      <c r="E59" s="112"/>
      <c r="F59" s="112"/>
      <c r="G59" s="111"/>
      <c r="H59" s="62">
        <f>$G$11</f>
        <v>33</v>
      </c>
      <c r="I59" s="8" t="e">
        <f>_xlfn.IFS(B59="Gen Bda","261,04",B59="Cel","239,32",B59="Ten Cel","235,12",B59="Maj","231,74",B59="1º Ten","172,32",B59="Cap","190,92",B59="2º Ten","156,54",B59="Asp","152,88",B59="SubTen","128,94",B59="1º Sgt","114,60",B59="2º Sgt","99,70",B59="3º Sgt","79,94",B59="Cb","54,90",B59="Al","27,88",B59="Sd EP","36,88",B59="Sd EV","22,54")</f>
        <v>#N/A</v>
      </c>
      <c r="J59" s="8" t="e">
        <f>H59*I59</f>
        <v>#N/A</v>
      </c>
    </row>
    <row r="60" spans="2:10" ht="15" customHeight="1">
      <c r="B60" s="74"/>
      <c r="C60" s="111"/>
      <c r="D60" s="71"/>
      <c r="E60" s="112"/>
      <c r="F60" s="112"/>
      <c r="G60" s="111"/>
      <c r="H60" s="62">
        <f>$G$11</f>
        <v>33</v>
      </c>
      <c r="I60" s="8" t="e">
        <f>_xlfn.IFS(B60="Gen Bda","261,04",B60="Cel","239,32",B60="Ten Cel","235,12",B60="Maj","231,74",B60="1º Ten","172,32",B60="Cap","190,92",B60="2º Ten","156,54",B60="Asp","152,88",B60="SubTen","128,94",B60="1º Sgt","114,60",B60="2º Sgt","99,70",B60="3º Sgt","79,94",B60="Cb","54,90",B60="Al","27,88",B60="Sd EP","36,88",B60="Sd EV","22,54")</f>
        <v>#N/A</v>
      </c>
      <c r="J60" s="8" t="e">
        <f>H60*I60</f>
        <v>#N/A</v>
      </c>
    </row>
    <row r="61" spans="2:10" ht="15" customHeight="1">
      <c r="B61" s="74"/>
      <c r="C61" s="111"/>
      <c r="D61" s="71"/>
      <c r="E61" s="112"/>
      <c r="F61" s="112"/>
      <c r="G61" s="111"/>
      <c r="H61" s="62">
        <f>$G$11</f>
        <v>33</v>
      </c>
      <c r="I61" s="8" t="e">
        <f>_xlfn.IFS(B61="Gen Bda","261,04",B61="Cel","239,32",B61="Ten Cel","235,12",B61="Maj","231,74",B61="1º Ten","172,32",B61="Cap","190,92",B61="2º Ten","156,54",B61="Asp","152,88",B61="SubTen","128,94",B61="1º Sgt","114,60",B61="2º Sgt","99,70",B61="3º Sgt","79,94",B61="Cb","54,90",B61="Al","27,88",B61="Sd EP","36,88",B61="Sd EV","22,54")</f>
        <v>#N/A</v>
      </c>
      <c r="J61" s="8" t="e">
        <f>H61*I61</f>
        <v>#N/A</v>
      </c>
    </row>
    <row r="62" spans="2:10" ht="15" customHeight="1">
      <c r="B62" s="74"/>
      <c r="C62" s="111"/>
      <c r="D62" s="71"/>
      <c r="E62" s="112"/>
      <c r="F62" s="112"/>
      <c r="G62" s="111"/>
      <c r="H62" s="62">
        <f>$G$11</f>
        <v>33</v>
      </c>
      <c r="I62" s="8" t="e">
        <f>_xlfn.IFS(B62="Gen Bda","261,04",B62="Cel","239,32",B62="Ten Cel","235,12",B62="Maj","231,74",B62="1º Ten","172,32",B62="Cap","190,92",B62="2º Ten","156,54",B62="Asp","152,88",B62="SubTen","128,94",B62="1º Sgt","114,60",B62="2º Sgt","99,70",B62="3º Sgt","79,94",B62="Cb","54,90",B62="Al","27,88",B62="Sd EP","36,88",B62="Sd EV","22,54")</f>
        <v>#N/A</v>
      </c>
      <c r="J62" s="8" t="e">
        <f>H62*I62</f>
        <v>#N/A</v>
      </c>
    </row>
    <row r="63" spans="2:10" ht="15" customHeight="1">
      <c r="B63" s="74"/>
      <c r="C63" s="111"/>
      <c r="D63" s="71"/>
      <c r="E63" s="112"/>
      <c r="F63" s="112"/>
      <c r="G63" s="111"/>
      <c r="H63" s="62">
        <f>$G$11</f>
        <v>33</v>
      </c>
      <c r="I63" s="8" t="e">
        <f>_xlfn.IFS(B63="Gen Bda","261,04",B63="Cel","239,32",B63="Ten Cel","235,12",B63="Maj","231,74",B63="1º Ten","172,32",B63="Cap","190,92",B63="2º Ten","156,54",B63="Asp","152,88",B63="SubTen","128,94",B63="1º Sgt","114,60",B63="2º Sgt","99,70",B63="3º Sgt","79,94",B63="Cb","54,90",B63="Al","27,88",B63="Sd EP","36,88",B63="Sd EV","22,54")</f>
        <v>#N/A</v>
      </c>
      <c r="J63" s="8" t="e">
        <f>H63*I63</f>
        <v>#N/A</v>
      </c>
    </row>
    <row r="64" spans="2:10" ht="15" customHeight="1">
      <c r="B64" s="74"/>
      <c r="C64" s="111"/>
      <c r="D64" s="71"/>
      <c r="E64" s="112"/>
      <c r="F64" s="112"/>
      <c r="G64" s="111"/>
      <c r="H64" s="62">
        <f>$G$11</f>
        <v>33</v>
      </c>
      <c r="I64" s="8" t="e">
        <f>_xlfn.IFS(B64="Gen Bda","261,04",B64="Cel","239,32",B64="Ten Cel","235,12",B64="Maj","231,74",B64="1º Ten","172,32",B64="Cap","190,92",B64="2º Ten","156,54",B64="Asp","152,88",B64="SubTen","128,94",B64="1º Sgt","114,60",B64="2º Sgt","99,70",B64="3º Sgt","79,94",B64="Cb","54,90",B64="Al","27,88",B64="Sd EP","36,88",B64="Sd EV","22,54")</f>
        <v>#N/A</v>
      </c>
      <c r="J64" s="8" t="e">
        <f>H64*I64</f>
        <v>#N/A</v>
      </c>
    </row>
    <row r="65" spans="2:10" ht="15" customHeight="1">
      <c r="B65" s="74"/>
      <c r="C65" s="111"/>
      <c r="D65" s="71"/>
      <c r="E65" s="112"/>
      <c r="F65" s="112"/>
      <c r="G65" s="111"/>
      <c r="H65" s="62">
        <f>$G$11</f>
        <v>33</v>
      </c>
      <c r="I65" s="8" t="e">
        <f>_xlfn.IFS(B65="Gen Bda","261,04",B65="Cel","239,32",B65="Ten Cel","235,12",B65="Maj","231,74",B65="1º Ten","172,32",B65="Cap","190,92",B65="2º Ten","156,54",B65="Asp","152,88",B65="SubTen","128,94",B65="1º Sgt","114,60",B65="2º Sgt","99,70",B65="3º Sgt","79,94",B65="Cb","54,90",B65="Al","27,88",B65="Sd EP","36,88",B65="Sd EV","22,54")</f>
        <v>#N/A</v>
      </c>
      <c r="J65" s="8" t="e">
        <f>H65*I65</f>
        <v>#N/A</v>
      </c>
    </row>
    <row r="66" spans="2:10" ht="15" customHeight="1">
      <c r="B66" s="74"/>
      <c r="C66" s="111"/>
      <c r="D66" s="71"/>
      <c r="E66" s="112"/>
      <c r="F66" s="112"/>
      <c r="G66" s="111"/>
      <c r="H66" s="62">
        <f>$G$11</f>
        <v>33</v>
      </c>
      <c r="I66" s="8" t="e">
        <f>_xlfn.IFS(B66="Gen Bda","261,04",B66="Cel","239,32",B66="Ten Cel","235,12",B66="Maj","231,74",B66="1º Ten","172,32",B66="Cap","190,92",B66="2º Ten","156,54",B66="Asp","152,88",B66="SubTen","128,94",B66="1º Sgt","114,60",B66="2º Sgt","99,70",B66="3º Sgt","79,94",B66="Cb","54,90",B66="Al","27,88",B66="Sd EP","36,88",B66="Sd EV","22,54")</f>
        <v>#N/A</v>
      </c>
      <c r="J66" s="8" t="e">
        <f>H66*I66</f>
        <v>#N/A</v>
      </c>
    </row>
    <row r="67" spans="2:10" ht="15" customHeight="1">
      <c r="B67" s="74"/>
      <c r="C67" s="111"/>
      <c r="D67" s="71"/>
      <c r="E67" s="112"/>
      <c r="F67" s="112"/>
      <c r="G67" s="111"/>
      <c r="H67" s="62">
        <f>$G$11</f>
        <v>33</v>
      </c>
      <c r="I67" s="8" t="e">
        <f>_xlfn.IFS(B67="Gen Bda","261,04",B67="Cel","239,32",B67="Ten Cel","235,12",B67="Maj","231,74",B67="1º Ten","172,32",B67="Cap","190,92",B67="2º Ten","156,54",B67="Asp","152,88",B67="SubTen","128,94",B67="1º Sgt","114,60",B67="2º Sgt","99,70",B67="3º Sgt","79,94",B67="Cb","54,90",B67="Al","27,88",B67="Sd EP","36,88",B67="Sd EV","22,54")</f>
        <v>#N/A</v>
      </c>
      <c r="J67" s="8" t="e">
        <f>H67*I67</f>
        <v>#N/A</v>
      </c>
    </row>
    <row r="68" spans="2:10" ht="15" customHeight="1">
      <c r="B68" s="74"/>
      <c r="C68" s="111"/>
      <c r="D68" s="71"/>
      <c r="E68" s="112"/>
      <c r="F68" s="112"/>
      <c r="G68" s="111"/>
      <c r="H68" s="62">
        <f>$G$11</f>
        <v>33</v>
      </c>
      <c r="I68" s="8" t="e">
        <f>_xlfn.IFS(B68="Gen Bda","261,04",B68="Cel","239,32",B68="Ten Cel","235,12",B68="Maj","231,74",B68="1º Ten","172,32",B68="Cap","190,92",B68="2º Ten","156,54",B68="Asp","152,88",B68="SubTen","128,94",B68="1º Sgt","114,60",B68="2º Sgt","99,70",B68="3º Sgt","79,94",B68="Cb","54,90",B68="Al","27,88",B68="Sd EP","36,88",B68="Sd EV","22,54")</f>
        <v>#N/A</v>
      </c>
      <c r="J68" s="8" t="e">
        <f>H68*I68</f>
        <v>#N/A</v>
      </c>
    </row>
    <row r="69" spans="2:10" ht="15" customHeight="1">
      <c r="B69" s="74"/>
      <c r="C69" s="111"/>
      <c r="D69" s="71"/>
      <c r="E69" s="112"/>
      <c r="F69" s="112"/>
      <c r="G69" s="111"/>
      <c r="H69" s="62">
        <f>$G$11</f>
        <v>33</v>
      </c>
      <c r="I69" s="8" t="e">
        <f>_xlfn.IFS(B69="Gen Bda","261,04",B69="Cel","239,32",B69="Ten Cel","235,12",B69="Maj","231,74",B69="1º Ten","172,32",B69="Cap","190,92",B69="2º Ten","156,54",B69="Asp","152,88",B69="SubTen","128,94",B69="1º Sgt","114,60",B69="2º Sgt","99,70",B69="3º Sgt","79,94",B69="Cb","54,90",B69="Al","27,88",B69="Sd EP","36,88",B69="Sd EV","22,54")</f>
        <v>#N/A</v>
      </c>
      <c r="J69" s="8" t="e">
        <f>H69*I69</f>
        <v>#N/A</v>
      </c>
    </row>
    <row r="70" spans="2:10" ht="15" customHeight="1">
      <c r="B70" s="74"/>
      <c r="C70" s="111"/>
      <c r="D70" s="71"/>
      <c r="E70" s="112"/>
      <c r="F70" s="112"/>
      <c r="G70" s="111"/>
      <c r="H70" s="62">
        <f>$G$11</f>
        <v>33</v>
      </c>
      <c r="I70" s="8" t="e">
        <f>_xlfn.IFS(B70="Gen Bda","261,04",B70="Cel","239,32",B70="Ten Cel","235,12",B70="Maj","231,74",B70="1º Ten","172,32",B70="Cap","190,92",B70="2º Ten","156,54",B70="Asp","152,88",B70="SubTen","128,94",B70="1º Sgt","114,60",B70="2º Sgt","99,70",B70="3º Sgt","79,94",B70="Cb","54,90",B70="Al","27,88",B70="Sd EP","36,88",B70="Sd EV","22,54")</f>
        <v>#N/A</v>
      </c>
      <c r="J70" s="8" t="e">
        <f>H70*I70</f>
        <v>#N/A</v>
      </c>
    </row>
    <row r="71" spans="2:10" ht="15" customHeight="1">
      <c r="B71" s="74"/>
      <c r="C71" s="111"/>
      <c r="D71" s="71"/>
      <c r="E71" s="112"/>
      <c r="F71" s="112"/>
      <c r="G71" s="111"/>
      <c r="H71" s="62">
        <f>$G$11</f>
        <v>33</v>
      </c>
      <c r="I71" s="8" t="e">
        <f>_xlfn.IFS(B71="Gen Bda","261,04",B71="Cel","239,32",B71="Ten Cel","235,12",B71="Maj","231,74",B71="1º Ten","172,32",B71="Cap","190,92",B71="2º Ten","156,54",B71="Asp","152,88",B71="SubTen","128,94",B71="1º Sgt","114,60",B71="2º Sgt","99,70",B71="3º Sgt","79,94",B71="Cb","54,90",B71="Al","27,88",B71="Sd EP","36,88",B71="Sd EV","22,54")</f>
        <v>#N/A</v>
      </c>
      <c r="J71" s="8" t="e">
        <f>H71*I71</f>
        <v>#N/A</v>
      </c>
    </row>
    <row r="72" spans="2:10" ht="15" customHeight="1">
      <c r="B72" s="74"/>
      <c r="C72" s="111"/>
      <c r="D72" s="71"/>
      <c r="E72" s="112"/>
      <c r="F72" s="112"/>
      <c r="G72" s="111"/>
      <c r="H72" s="62">
        <f>$G$11</f>
        <v>33</v>
      </c>
      <c r="I72" s="8" t="e">
        <f>_xlfn.IFS(B72="Gen Bda","261,04",B72="Cel","239,32",B72="Ten Cel","235,12",B72="Maj","231,74",B72="1º Ten","172,32",B72="Cap","190,92",B72="2º Ten","156,54",B72="Asp","152,88",B72="SubTen","128,94",B72="1º Sgt","114,60",B72="2º Sgt","99,70",B72="3º Sgt","79,94",B72="Cb","54,90",B72="Al","27,88",B72="Sd EP","36,88",B72="Sd EV","22,54")</f>
        <v>#N/A</v>
      </c>
      <c r="J72" s="8" t="e">
        <f>H72*I72</f>
        <v>#N/A</v>
      </c>
    </row>
    <row r="73" spans="2:10" ht="15" customHeight="1">
      <c r="B73" s="74"/>
      <c r="C73" s="111"/>
      <c r="D73" s="71"/>
      <c r="E73" s="112"/>
      <c r="F73" s="112"/>
      <c r="G73" s="111"/>
      <c r="H73" s="62">
        <f>$G$11</f>
        <v>33</v>
      </c>
      <c r="I73" s="8" t="e">
        <f>_xlfn.IFS(B73="Gen Bda","261,04",B73="Cel","239,32",B73="Ten Cel","235,12",B73="Maj","231,74",B73="1º Ten","172,32",B73="Cap","190,92",B73="2º Ten","156,54",B73="Asp","152,88",B73="SubTen","128,94",B73="1º Sgt","114,60",B73="2º Sgt","99,70",B73="3º Sgt","79,94",B73="Cb","54,90",B73="Al","27,88",B73="Sd EP","36,88",B73="Sd EV","22,54")</f>
        <v>#N/A</v>
      </c>
      <c r="J73" s="8" t="e">
        <f>H73*I73</f>
        <v>#N/A</v>
      </c>
    </row>
    <row r="74" spans="2:10" ht="15" customHeight="1">
      <c r="B74" s="74"/>
      <c r="C74" s="111"/>
      <c r="D74" s="71"/>
      <c r="E74" s="112"/>
      <c r="F74" s="112"/>
      <c r="G74" s="111"/>
      <c r="H74" s="62">
        <f t="shared" ref="H74:H137" si="0">$G$11</f>
        <v>33</v>
      </c>
      <c r="I74" s="8" t="e">
        <f t="shared" ref="I74:I137" si="1">_xlfn.IFS(B74="Gen Bda","261,04",B74="Cel","239,32",B74="Ten Cel","235,12",B74="Maj","231,74",B74="1º Ten","172,32",B74="Cap","190,92",B74="2º Ten","156,54",B74="Asp","152,88",B74="SubTen","128,94",B74="1º Sgt","114,60",B74="2º Sgt","99,70",B74="3º Sgt","79,94",B74="Cb","54,90",B74="Al","27,88",B74="Sd EP","36,88",B74="Sd EV","22,54")</f>
        <v>#N/A</v>
      </c>
      <c r="J74" s="8" t="e">
        <f t="shared" ref="J74:J137" si="2">H74*I74</f>
        <v>#N/A</v>
      </c>
    </row>
    <row r="75" spans="2:10" ht="13.5" customHeight="1">
      <c r="B75" s="74"/>
      <c r="C75" s="111"/>
      <c r="D75" s="71"/>
      <c r="E75" s="112"/>
      <c r="F75" s="112"/>
      <c r="G75" s="111"/>
      <c r="H75" s="62">
        <f t="shared" si="0"/>
        <v>33</v>
      </c>
      <c r="I75" s="8" t="e">
        <f t="shared" si="1"/>
        <v>#N/A</v>
      </c>
      <c r="J75" s="8" t="e">
        <f t="shared" si="2"/>
        <v>#N/A</v>
      </c>
    </row>
    <row r="76" spans="2:10" ht="17.25" customHeight="1">
      <c r="B76" s="74"/>
      <c r="C76" s="111"/>
      <c r="D76" s="71"/>
      <c r="E76" s="112"/>
      <c r="F76" s="112"/>
      <c r="G76" s="111"/>
      <c r="H76" s="62">
        <f t="shared" si="0"/>
        <v>33</v>
      </c>
      <c r="I76" s="8" t="e">
        <f t="shared" si="1"/>
        <v>#N/A</v>
      </c>
      <c r="J76" s="8" t="e">
        <f t="shared" si="2"/>
        <v>#N/A</v>
      </c>
    </row>
    <row r="77" spans="2:10" ht="13.5" customHeight="1">
      <c r="B77" s="74"/>
      <c r="C77" s="111"/>
      <c r="D77" s="71"/>
      <c r="E77" s="112"/>
      <c r="F77" s="112"/>
      <c r="G77" s="111"/>
      <c r="H77" s="62">
        <f t="shared" si="0"/>
        <v>33</v>
      </c>
      <c r="I77" s="8" t="e">
        <f t="shared" si="1"/>
        <v>#N/A</v>
      </c>
      <c r="J77" s="8" t="e">
        <f t="shared" si="2"/>
        <v>#N/A</v>
      </c>
    </row>
    <row r="78" spans="2:10" ht="13.5" customHeight="1">
      <c r="B78" s="74"/>
      <c r="C78" s="111"/>
      <c r="D78" s="71"/>
      <c r="E78" s="112"/>
      <c r="F78" s="112"/>
      <c r="G78" s="111"/>
      <c r="H78" s="62">
        <f t="shared" si="0"/>
        <v>33</v>
      </c>
      <c r="I78" s="8" t="e">
        <f t="shared" si="1"/>
        <v>#N/A</v>
      </c>
      <c r="J78" s="8" t="e">
        <f t="shared" si="2"/>
        <v>#N/A</v>
      </c>
    </row>
    <row r="79" spans="2:10" ht="13.5" customHeight="1">
      <c r="B79" s="74"/>
      <c r="C79" s="111"/>
      <c r="D79" s="71"/>
      <c r="E79" s="112"/>
      <c r="F79" s="112"/>
      <c r="G79" s="111"/>
      <c r="H79" s="62">
        <f t="shared" si="0"/>
        <v>33</v>
      </c>
      <c r="I79" s="8" t="e">
        <f t="shared" si="1"/>
        <v>#N/A</v>
      </c>
      <c r="J79" s="8" t="e">
        <f t="shared" si="2"/>
        <v>#N/A</v>
      </c>
    </row>
    <row r="80" spans="2:10" ht="13.5" customHeight="1">
      <c r="B80" s="74"/>
      <c r="C80" s="111"/>
      <c r="D80" s="71"/>
      <c r="E80" s="112"/>
      <c r="F80" s="112"/>
      <c r="G80" s="111"/>
      <c r="H80" s="62">
        <f t="shared" si="0"/>
        <v>33</v>
      </c>
      <c r="I80" s="8" t="e">
        <f t="shared" si="1"/>
        <v>#N/A</v>
      </c>
      <c r="J80" s="8" t="e">
        <f t="shared" si="2"/>
        <v>#N/A</v>
      </c>
    </row>
    <row r="81" spans="2:10" ht="13.5" customHeight="1">
      <c r="B81" s="74"/>
      <c r="C81" s="111"/>
      <c r="D81" s="71"/>
      <c r="E81" s="112"/>
      <c r="F81" s="112"/>
      <c r="G81" s="111"/>
      <c r="H81" s="62">
        <f t="shared" si="0"/>
        <v>33</v>
      </c>
      <c r="I81" s="8" t="e">
        <f t="shared" si="1"/>
        <v>#N/A</v>
      </c>
      <c r="J81" s="8" t="e">
        <f t="shared" si="2"/>
        <v>#N/A</v>
      </c>
    </row>
    <row r="82" spans="2:10" ht="13.5" customHeight="1">
      <c r="B82" s="74"/>
      <c r="C82" s="111"/>
      <c r="D82" s="71"/>
      <c r="E82" s="112"/>
      <c r="F82" s="112"/>
      <c r="G82" s="111"/>
      <c r="H82" s="62">
        <f t="shared" si="0"/>
        <v>33</v>
      </c>
      <c r="I82" s="8" t="e">
        <f t="shared" si="1"/>
        <v>#N/A</v>
      </c>
      <c r="J82" s="8" t="e">
        <f t="shared" si="2"/>
        <v>#N/A</v>
      </c>
    </row>
    <row r="83" spans="2:10" ht="13.5" customHeight="1">
      <c r="B83" s="74"/>
      <c r="C83" s="111"/>
      <c r="D83" s="71"/>
      <c r="E83" s="112"/>
      <c r="F83" s="112"/>
      <c r="G83" s="111"/>
      <c r="H83" s="62">
        <f t="shared" si="0"/>
        <v>33</v>
      </c>
      <c r="I83" s="8" t="e">
        <f t="shared" si="1"/>
        <v>#N/A</v>
      </c>
      <c r="J83" s="8" t="e">
        <f t="shared" si="2"/>
        <v>#N/A</v>
      </c>
    </row>
    <row r="84" spans="2:10" ht="13.5" customHeight="1">
      <c r="B84" s="74"/>
      <c r="C84" s="111"/>
      <c r="D84" s="71"/>
      <c r="E84" s="112"/>
      <c r="F84" s="112"/>
      <c r="G84" s="111"/>
      <c r="H84" s="62">
        <f t="shared" si="0"/>
        <v>33</v>
      </c>
      <c r="I84" s="8" t="e">
        <f t="shared" si="1"/>
        <v>#N/A</v>
      </c>
      <c r="J84" s="8" t="e">
        <f t="shared" si="2"/>
        <v>#N/A</v>
      </c>
    </row>
    <row r="85" spans="2:10" ht="13.5" customHeight="1">
      <c r="B85" s="74"/>
      <c r="C85" s="111"/>
      <c r="D85" s="71"/>
      <c r="E85" s="112"/>
      <c r="F85" s="112"/>
      <c r="G85" s="111"/>
      <c r="H85" s="62">
        <f t="shared" si="0"/>
        <v>33</v>
      </c>
      <c r="I85" s="8" t="e">
        <f t="shared" si="1"/>
        <v>#N/A</v>
      </c>
      <c r="J85" s="8" t="e">
        <f t="shared" si="2"/>
        <v>#N/A</v>
      </c>
    </row>
    <row r="86" spans="2:10" ht="13.5" customHeight="1">
      <c r="B86" s="74"/>
      <c r="C86" s="111"/>
      <c r="D86" s="71"/>
      <c r="E86" s="112"/>
      <c r="F86" s="112"/>
      <c r="G86" s="111"/>
      <c r="H86" s="62">
        <f t="shared" si="0"/>
        <v>33</v>
      </c>
      <c r="I86" s="8" t="e">
        <f t="shared" si="1"/>
        <v>#N/A</v>
      </c>
      <c r="J86" s="8" t="e">
        <f t="shared" si="2"/>
        <v>#N/A</v>
      </c>
    </row>
    <row r="87" spans="2:10" ht="13.5" customHeight="1">
      <c r="B87" s="74"/>
      <c r="C87" s="111"/>
      <c r="D87" s="71"/>
      <c r="E87" s="112"/>
      <c r="F87" s="112"/>
      <c r="G87" s="111"/>
      <c r="H87" s="62">
        <f t="shared" si="0"/>
        <v>33</v>
      </c>
      <c r="I87" s="8" t="e">
        <f t="shared" si="1"/>
        <v>#N/A</v>
      </c>
      <c r="J87" s="8" t="e">
        <f t="shared" si="2"/>
        <v>#N/A</v>
      </c>
    </row>
    <row r="88" spans="2:10" ht="13.5" customHeight="1">
      <c r="B88" s="74"/>
      <c r="C88" s="111"/>
      <c r="D88" s="71"/>
      <c r="E88" s="112"/>
      <c r="F88" s="112"/>
      <c r="G88" s="111"/>
      <c r="H88" s="62">
        <f t="shared" si="0"/>
        <v>33</v>
      </c>
      <c r="I88" s="8" t="e">
        <f t="shared" si="1"/>
        <v>#N/A</v>
      </c>
      <c r="J88" s="8" t="e">
        <f t="shared" si="2"/>
        <v>#N/A</v>
      </c>
    </row>
    <row r="89" spans="2:10" ht="13.5" customHeight="1">
      <c r="B89" s="74"/>
      <c r="C89" s="111"/>
      <c r="D89" s="71"/>
      <c r="E89" s="112"/>
      <c r="F89" s="112"/>
      <c r="G89" s="111"/>
      <c r="H89" s="62">
        <f t="shared" si="0"/>
        <v>33</v>
      </c>
      <c r="I89" s="8" t="e">
        <f t="shared" si="1"/>
        <v>#N/A</v>
      </c>
      <c r="J89" s="8" t="e">
        <f t="shared" si="2"/>
        <v>#N/A</v>
      </c>
    </row>
    <row r="90" spans="2:10" ht="13.5" customHeight="1">
      <c r="B90" s="74"/>
      <c r="C90" s="111"/>
      <c r="D90" s="71"/>
      <c r="E90" s="112"/>
      <c r="F90" s="112"/>
      <c r="G90" s="111"/>
      <c r="H90" s="62">
        <f t="shared" si="0"/>
        <v>33</v>
      </c>
      <c r="I90" s="8" t="e">
        <f t="shared" si="1"/>
        <v>#N/A</v>
      </c>
      <c r="J90" s="8" t="e">
        <f t="shared" si="2"/>
        <v>#N/A</v>
      </c>
    </row>
    <row r="91" spans="2:10" ht="13.5" customHeight="1">
      <c r="B91" s="74"/>
      <c r="C91" s="111"/>
      <c r="D91" s="71"/>
      <c r="E91" s="112"/>
      <c r="F91" s="112"/>
      <c r="G91" s="111"/>
      <c r="H91" s="62">
        <f t="shared" si="0"/>
        <v>33</v>
      </c>
      <c r="I91" s="8" t="e">
        <f t="shared" si="1"/>
        <v>#N/A</v>
      </c>
      <c r="J91" s="8" t="e">
        <f t="shared" si="2"/>
        <v>#N/A</v>
      </c>
    </row>
    <row r="92" spans="2:10" ht="13.5" customHeight="1">
      <c r="B92" s="74"/>
      <c r="C92" s="111"/>
      <c r="D92" s="71"/>
      <c r="E92" s="112"/>
      <c r="F92" s="112"/>
      <c r="G92" s="111"/>
      <c r="H92" s="62">
        <f t="shared" si="0"/>
        <v>33</v>
      </c>
      <c r="I92" s="8" t="e">
        <f t="shared" si="1"/>
        <v>#N/A</v>
      </c>
      <c r="J92" s="8" t="e">
        <f t="shared" si="2"/>
        <v>#N/A</v>
      </c>
    </row>
    <row r="93" spans="2:10" ht="13.5" customHeight="1">
      <c r="B93" s="74"/>
      <c r="C93" s="111"/>
      <c r="D93" s="71"/>
      <c r="E93" s="112"/>
      <c r="F93" s="112"/>
      <c r="G93" s="111"/>
      <c r="H93" s="62">
        <f t="shared" si="0"/>
        <v>33</v>
      </c>
      <c r="I93" s="8" t="e">
        <f t="shared" si="1"/>
        <v>#N/A</v>
      </c>
      <c r="J93" s="8" t="e">
        <f t="shared" si="2"/>
        <v>#N/A</v>
      </c>
    </row>
    <row r="94" spans="2:10" ht="13.5" customHeight="1">
      <c r="B94" s="74"/>
      <c r="C94" s="111"/>
      <c r="D94" s="71"/>
      <c r="E94" s="112"/>
      <c r="F94" s="112"/>
      <c r="G94" s="111"/>
      <c r="H94" s="62">
        <f t="shared" si="0"/>
        <v>33</v>
      </c>
      <c r="I94" s="8" t="e">
        <f t="shared" si="1"/>
        <v>#N/A</v>
      </c>
      <c r="J94" s="8" t="e">
        <f t="shared" si="2"/>
        <v>#N/A</v>
      </c>
    </row>
    <row r="95" spans="2:10" ht="13.5" customHeight="1">
      <c r="B95" s="74"/>
      <c r="C95" s="111"/>
      <c r="D95" s="71"/>
      <c r="E95" s="112"/>
      <c r="F95" s="112"/>
      <c r="G95" s="111"/>
      <c r="H95" s="62">
        <f t="shared" si="0"/>
        <v>33</v>
      </c>
      <c r="I95" s="8" t="e">
        <f t="shared" si="1"/>
        <v>#N/A</v>
      </c>
      <c r="J95" s="8" t="e">
        <f t="shared" si="2"/>
        <v>#N/A</v>
      </c>
    </row>
    <row r="96" spans="2:10" ht="13.5" customHeight="1">
      <c r="B96" s="74"/>
      <c r="C96" s="111"/>
      <c r="D96" s="71"/>
      <c r="E96" s="112"/>
      <c r="F96" s="112"/>
      <c r="G96" s="111"/>
      <c r="H96" s="62">
        <f t="shared" si="0"/>
        <v>33</v>
      </c>
      <c r="I96" s="8" t="e">
        <f t="shared" si="1"/>
        <v>#N/A</v>
      </c>
      <c r="J96" s="8" t="e">
        <f t="shared" si="2"/>
        <v>#N/A</v>
      </c>
    </row>
    <row r="97" spans="2:10" ht="13.5" customHeight="1">
      <c r="B97" s="74"/>
      <c r="C97" s="111"/>
      <c r="D97" s="71"/>
      <c r="E97" s="112"/>
      <c r="F97" s="112"/>
      <c r="G97" s="111"/>
      <c r="H97" s="62">
        <f t="shared" si="0"/>
        <v>33</v>
      </c>
      <c r="I97" s="8" t="e">
        <f t="shared" si="1"/>
        <v>#N/A</v>
      </c>
      <c r="J97" s="8" t="e">
        <f t="shared" si="2"/>
        <v>#N/A</v>
      </c>
    </row>
    <row r="98" spans="2:10" ht="13.5" customHeight="1">
      <c r="B98" s="74"/>
      <c r="C98" s="111"/>
      <c r="D98" s="71"/>
      <c r="E98" s="112"/>
      <c r="F98" s="112"/>
      <c r="G98" s="111"/>
      <c r="H98" s="62">
        <f t="shared" si="0"/>
        <v>33</v>
      </c>
      <c r="I98" s="8" t="e">
        <f t="shared" si="1"/>
        <v>#N/A</v>
      </c>
      <c r="J98" s="8" t="e">
        <f t="shared" si="2"/>
        <v>#N/A</v>
      </c>
    </row>
    <row r="99" spans="2:10" ht="13.5" customHeight="1">
      <c r="B99" s="74"/>
      <c r="C99" s="111"/>
      <c r="D99" s="71"/>
      <c r="E99" s="112"/>
      <c r="F99" s="112"/>
      <c r="G99" s="111"/>
      <c r="H99" s="62">
        <f t="shared" si="0"/>
        <v>33</v>
      </c>
      <c r="I99" s="8" t="e">
        <f t="shared" si="1"/>
        <v>#N/A</v>
      </c>
      <c r="J99" s="8" t="e">
        <f t="shared" si="2"/>
        <v>#N/A</v>
      </c>
    </row>
    <row r="100" spans="2:10" ht="13.5" customHeight="1">
      <c r="B100" s="74"/>
      <c r="C100" s="111"/>
      <c r="D100" s="71"/>
      <c r="E100" s="112"/>
      <c r="F100" s="112"/>
      <c r="G100" s="111"/>
      <c r="H100" s="62">
        <f t="shared" si="0"/>
        <v>33</v>
      </c>
      <c r="I100" s="8" t="e">
        <f t="shared" si="1"/>
        <v>#N/A</v>
      </c>
      <c r="J100" s="8" t="e">
        <f t="shared" si="2"/>
        <v>#N/A</v>
      </c>
    </row>
    <row r="101" spans="2:10" ht="13.5" customHeight="1">
      <c r="B101" s="74"/>
      <c r="C101" s="111"/>
      <c r="D101" s="71"/>
      <c r="E101" s="112"/>
      <c r="F101" s="112"/>
      <c r="G101" s="111"/>
      <c r="H101" s="62">
        <f t="shared" si="0"/>
        <v>33</v>
      </c>
      <c r="I101" s="8" t="e">
        <f t="shared" si="1"/>
        <v>#N/A</v>
      </c>
      <c r="J101" s="8" t="e">
        <f t="shared" si="2"/>
        <v>#N/A</v>
      </c>
    </row>
    <row r="102" spans="2:10" ht="13.5" customHeight="1">
      <c r="B102" s="74"/>
      <c r="C102" s="111"/>
      <c r="D102" s="71"/>
      <c r="E102" s="112"/>
      <c r="F102" s="112"/>
      <c r="G102" s="111"/>
      <c r="H102" s="62">
        <f t="shared" si="0"/>
        <v>33</v>
      </c>
      <c r="I102" s="8" t="e">
        <f t="shared" si="1"/>
        <v>#N/A</v>
      </c>
      <c r="J102" s="8" t="e">
        <f t="shared" si="2"/>
        <v>#N/A</v>
      </c>
    </row>
    <row r="103" spans="2:10" ht="13.5" customHeight="1">
      <c r="B103" s="74"/>
      <c r="C103" s="111"/>
      <c r="D103" s="71"/>
      <c r="E103" s="112"/>
      <c r="F103" s="112"/>
      <c r="G103" s="111"/>
      <c r="H103" s="62">
        <f t="shared" si="0"/>
        <v>33</v>
      </c>
      <c r="I103" s="8" t="e">
        <f t="shared" si="1"/>
        <v>#N/A</v>
      </c>
      <c r="J103" s="8" t="e">
        <f t="shared" si="2"/>
        <v>#N/A</v>
      </c>
    </row>
    <row r="104" spans="2:10" ht="13.5" customHeight="1">
      <c r="B104" s="74"/>
      <c r="C104" s="111"/>
      <c r="D104" s="71"/>
      <c r="E104" s="112"/>
      <c r="F104" s="112"/>
      <c r="G104" s="111"/>
      <c r="H104" s="62">
        <f t="shared" si="0"/>
        <v>33</v>
      </c>
      <c r="I104" s="8" t="e">
        <f t="shared" si="1"/>
        <v>#N/A</v>
      </c>
      <c r="J104" s="8" t="e">
        <f t="shared" si="2"/>
        <v>#N/A</v>
      </c>
    </row>
    <row r="105" spans="2:10" ht="13.5" customHeight="1">
      <c r="B105" s="74"/>
      <c r="C105" s="111"/>
      <c r="D105" s="71"/>
      <c r="E105" s="112"/>
      <c r="F105" s="112"/>
      <c r="G105" s="111"/>
      <c r="H105" s="62">
        <f t="shared" si="0"/>
        <v>33</v>
      </c>
      <c r="I105" s="8" t="e">
        <f t="shared" si="1"/>
        <v>#N/A</v>
      </c>
      <c r="J105" s="8" t="e">
        <f t="shared" si="2"/>
        <v>#N/A</v>
      </c>
    </row>
    <row r="106" spans="2:10" ht="13.5" customHeight="1">
      <c r="B106" s="74"/>
      <c r="C106" s="111"/>
      <c r="D106" s="71"/>
      <c r="E106" s="112"/>
      <c r="F106" s="112"/>
      <c r="G106" s="111"/>
      <c r="H106" s="62">
        <f t="shared" si="0"/>
        <v>33</v>
      </c>
      <c r="I106" s="8" t="e">
        <f t="shared" si="1"/>
        <v>#N/A</v>
      </c>
      <c r="J106" s="8" t="e">
        <f t="shared" si="2"/>
        <v>#N/A</v>
      </c>
    </row>
    <row r="107" spans="2:10" ht="13.5" customHeight="1">
      <c r="B107" s="74"/>
      <c r="C107" s="111"/>
      <c r="D107" s="71"/>
      <c r="E107" s="112"/>
      <c r="F107" s="112"/>
      <c r="G107" s="111"/>
      <c r="H107" s="62">
        <f t="shared" si="0"/>
        <v>33</v>
      </c>
      <c r="I107" s="8" t="e">
        <f t="shared" si="1"/>
        <v>#N/A</v>
      </c>
      <c r="J107" s="8" t="e">
        <f t="shared" si="2"/>
        <v>#N/A</v>
      </c>
    </row>
    <row r="108" spans="2:10" ht="13.5" customHeight="1">
      <c r="B108" s="74"/>
      <c r="C108" s="111"/>
      <c r="D108" s="71"/>
      <c r="E108" s="112"/>
      <c r="F108" s="112"/>
      <c r="G108" s="111"/>
      <c r="H108" s="62">
        <f t="shared" si="0"/>
        <v>33</v>
      </c>
      <c r="I108" s="8" t="e">
        <f t="shared" si="1"/>
        <v>#N/A</v>
      </c>
      <c r="J108" s="8" t="e">
        <f t="shared" si="2"/>
        <v>#N/A</v>
      </c>
    </row>
    <row r="109" spans="2:10" ht="13.5" customHeight="1">
      <c r="B109" s="74"/>
      <c r="C109" s="111"/>
      <c r="D109" s="71"/>
      <c r="E109" s="112"/>
      <c r="F109" s="112"/>
      <c r="G109" s="111"/>
      <c r="H109" s="62">
        <f t="shared" si="0"/>
        <v>33</v>
      </c>
      <c r="I109" s="8" t="e">
        <f t="shared" si="1"/>
        <v>#N/A</v>
      </c>
      <c r="J109" s="8" t="e">
        <f t="shared" si="2"/>
        <v>#N/A</v>
      </c>
    </row>
    <row r="110" spans="2:10" ht="13.5" customHeight="1">
      <c r="B110" s="74"/>
      <c r="C110" s="111"/>
      <c r="D110" s="71"/>
      <c r="E110" s="112"/>
      <c r="F110" s="112"/>
      <c r="G110" s="111"/>
      <c r="H110" s="62">
        <f t="shared" si="0"/>
        <v>33</v>
      </c>
      <c r="I110" s="8" t="e">
        <f t="shared" si="1"/>
        <v>#N/A</v>
      </c>
      <c r="J110" s="8" t="e">
        <f t="shared" si="2"/>
        <v>#N/A</v>
      </c>
    </row>
    <row r="111" spans="2:10" ht="13.5" customHeight="1">
      <c r="B111" s="74"/>
      <c r="C111" s="111"/>
      <c r="D111" s="71"/>
      <c r="E111" s="112"/>
      <c r="F111" s="112"/>
      <c r="G111" s="111"/>
      <c r="H111" s="62">
        <f t="shared" si="0"/>
        <v>33</v>
      </c>
      <c r="I111" s="8" t="e">
        <f t="shared" si="1"/>
        <v>#N/A</v>
      </c>
      <c r="J111" s="8" t="e">
        <f t="shared" si="2"/>
        <v>#N/A</v>
      </c>
    </row>
    <row r="112" spans="2:10" ht="13.5" customHeight="1">
      <c r="B112" s="74"/>
      <c r="C112" s="111"/>
      <c r="D112" s="71"/>
      <c r="E112" s="112"/>
      <c r="F112" s="112"/>
      <c r="G112" s="111"/>
      <c r="H112" s="62">
        <f t="shared" si="0"/>
        <v>33</v>
      </c>
      <c r="I112" s="8" t="e">
        <f t="shared" si="1"/>
        <v>#N/A</v>
      </c>
      <c r="J112" s="8" t="e">
        <f t="shared" si="2"/>
        <v>#N/A</v>
      </c>
    </row>
    <row r="113" spans="2:10" ht="13.5" customHeight="1">
      <c r="B113" s="74"/>
      <c r="C113" s="111"/>
      <c r="D113" s="71"/>
      <c r="E113" s="112"/>
      <c r="F113" s="112"/>
      <c r="G113" s="111"/>
      <c r="H113" s="62">
        <f t="shared" si="0"/>
        <v>33</v>
      </c>
      <c r="I113" s="8" t="e">
        <f t="shared" si="1"/>
        <v>#N/A</v>
      </c>
      <c r="J113" s="8" t="e">
        <f t="shared" si="2"/>
        <v>#N/A</v>
      </c>
    </row>
    <row r="114" spans="2:10" ht="13.5" customHeight="1">
      <c r="B114" s="74"/>
      <c r="C114" s="111"/>
      <c r="D114" s="71"/>
      <c r="E114" s="112"/>
      <c r="F114" s="112"/>
      <c r="G114" s="111"/>
      <c r="H114" s="62">
        <f t="shared" si="0"/>
        <v>33</v>
      </c>
      <c r="I114" s="8" t="e">
        <f t="shared" si="1"/>
        <v>#N/A</v>
      </c>
      <c r="J114" s="8" t="e">
        <f t="shared" si="2"/>
        <v>#N/A</v>
      </c>
    </row>
    <row r="115" spans="2:10" ht="13.5" customHeight="1">
      <c r="B115" s="74"/>
      <c r="C115" s="111"/>
      <c r="D115" s="71"/>
      <c r="E115" s="112"/>
      <c r="F115" s="112"/>
      <c r="G115" s="111"/>
      <c r="H115" s="62">
        <f t="shared" si="0"/>
        <v>33</v>
      </c>
      <c r="I115" s="8" t="e">
        <f t="shared" si="1"/>
        <v>#N/A</v>
      </c>
      <c r="J115" s="8" t="e">
        <f t="shared" si="2"/>
        <v>#N/A</v>
      </c>
    </row>
    <row r="116" spans="2:10" ht="13.5" customHeight="1">
      <c r="B116" s="74"/>
      <c r="C116" s="111"/>
      <c r="D116" s="71"/>
      <c r="E116" s="112"/>
      <c r="F116" s="112"/>
      <c r="G116" s="111"/>
      <c r="H116" s="62">
        <f t="shared" si="0"/>
        <v>33</v>
      </c>
      <c r="I116" s="8" t="e">
        <f t="shared" si="1"/>
        <v>#N/A</v>
      </c>
      <c r="J116" s="8" t="e">
        <f t="shared" si="2"/>
        <v>#N/A</v>
      </c>
    </row>
    <row r="117" spans="2:10" ht="13.5" customHeight="1">
      <c r="B117" s="74"/>
      <c r="C117" s="111"/>
      <c r="D117" s="71"/>
      <c r="E117" s="112"/>
      <c r="F117" s="112"/>
      <c r="G117" s="111"/>
      <c r="H117" s="62">
        <f t="shared" si="0"/>
        <v>33</v>
      </c>
      <c r="I117" s="8" t="e">
        <f t="shared" si="1"/>
        <v>#N/A</v>
      </c>
      <c r="J117" s="8" t="e">
        <f t="shared" si="2"/>
        <v>#N/A</v>
      </c>
    </row>
    <row r="118" spans="2:10" ht="13.5" customHeight="1">
      <c r="B118" s="74"/>
      <c r="C118" s="111"/>
      <c r="D118" s="71"/>
      <c r="E118" s="112"/>
      <c r="F118" s="112"/>
      <c r="G118" s="111"/>
      <c r="H118" s="62">
        <f t="shared" si="0"/>
        <v>33</v>
      </c>
      <c r="I118" s="8" t="e">
        <f t="shared" si="1"/>
        <v>#N/A</v>
      </c>
      <c r="J118" s="8" t="e">
        <f t="shared" si="2"/>
        <v>#N/A</v>
      </c>
    </row>
    <row r="119" spans="2:10" ht="13.5" customHeight="1">
      <c r="B119" s="74"/>
      <c r="C119" s="111"/>
      <c r="D119" s="71"/>
      <c r="E119" s="112"/>
      <c r="F119" s="112"/>
      <c r="G119" s="111"/>
      <c r="H119" s="62">
        <f t="shared" si="0"/>
        <v>33</v>
      </c>
      <c r="I119" s="8" t="e">
        <f t="shared" si="1"/>
        <v>#N/A</v>
      </c>
      <c r="J119" s="8" t="e">
        <f t="shared" si="2"/>
        <v>#N/A</v>
      </c>
    </row>
    <row r="120" spans="2:10" ht="13.5" customHeight="1">
      <c r="B120" s="74"/>
      <c r="C120" s="111"/>
      <c r="D120" s="71"/>
      <c r="E120" s="112"/>
      <c r="F120" s="112"/>
      <c r="G120" s="111"/>
      <c r="H120" s="62">
        <f t="shared" si="0"/>
        <v>33</v>
      </c>
      <c r="I120" s="8" t="e">
        <f t="shared" si="1"/>
        <v>#N/A</v>
      </c>
      <c r="J120" s="8" t="e">
        <f t="shared" si="2"/>
        <v>#N/A</v>
      </c>
    </row>
    <row r="121" spans="2:10" ht="13.5" customHeight="1">
      <c r="B121" s="74"/>
      <c r="C121" s="111"/>
      <c r="D121" s="71"/>
      <c r="E121" s="112"/>
      <c r="F121" s="112"/>
      <c r="G121" s="111"/>
      <c r="H121" s="62">
        <f t="shared" si="0"/>
        <v>33</v>
      </c>
      <c r="I121" s="8" t="e">
        <f t="shared" si="1"/>
        <v>#N/A</v>
      </c>
      <c r="J121" s="8" t="e">
        <f t="shared" si="2"/>
        <v>#N/A</v>
      </c>
    </row>
    <row r="122" spans="2:10" ht="13.5" customHeight="1">
      <c r="B122" s="74"/>
      <c r="C122" s="111"/>
      <c r="D122" s="71"/>
      <c r="E122" s="112"/>
      <c r="F122" s="112"/>
      <c r="G122" s="111"/>
      <c r="H122" s="62">
        <f t="shared" si="0"/>
        <v>33</v>
      </c>
      <c r="I122" s="8" t="e">
        <f t="shared" si="1"/>
        <v>#N/A</v>
      </c>
      <c r="J122" s="8" t="e">
        <f t="shared" si="2"/>
        <v>#N/A</v>
      </c>
    </row>
    <row r="123" spans="2:10" ht="13.5" customHeight="1">
      <c r="B123" s="74"/>
      <c r="C123" s="111"/>
      <c r="D123" s="71"/>
      <c r="E123" s="112"/>
      <c r="F123" s="112"/>
      <c r="G123" s="111"/>
      <c r="H123" s="62">
        <f t="shared" si="0"/>
        <v>33</v>
      </c>
      <c r="I123" s="8" t="e">
        <f t="shared" si="1"/>
        <v>#N/A</v>
      </c>
      <c r="J123" s="8" t="e">
        <f t="shared" si="2"/>
        <v>#N/A</v>
      </c>
    </row>
    <row r="124" spans="2:10" ht="13.5" customHeight="1">
      <c r="B124" s="74"/>
      <c r="C124" s="111"/>
      <c r="D124" s="71"/>
      <c r="E124" s="112"/>
      <c r="F124" s="112"/>
      <c r="G124" s="111"/>
      <c r="H124" s="62">
        <f t="shared" si="0"/>
        <v>33</v>
      </c>
      <c r="I124" s="8" t="e">
        <f t="shared" si="1"/>
        <v>#N/A</v>
      </c>
      <c r="J124" s="8" t="e">
        <f t="shared" si="2"/>
        <v>#N/A</v>
      </c>
    </row>
    <row r="125" spans="2:10" ht="13.5" customHeight="1">
      <c r="B125" s="74"/>
      <c r="C125" s="111"/>
      <c r="D125" s="71"/>
      <c r="E125" s="112"/>
      <c r="F125" s="112"/>
      <c r="G125" s="111"/>
      <c r="H125" s="62">
        <f t="shared" si="0"/>
        <v>33</v>
      </c>
      <c r="I125" s="8" t="e">
        <f t="shared" si="1"/>
        <v>#N/A</v>
      </c>
      <c r="J125" s="8" t="e">
        <f t="shared" si="2"/>
        <v>#N/A</v>
      </c>
    </row>
    <row r="126" spans="2:10" ht="13.5" customHeight="1">
      <c r="B126" s="74"/>
      <c r="C126" s="111"/>
      <c r="D126" s="71"/>
      <c r="E126" s="112"/>
      <c r="F126" s="112"/>
      <c r="G126" s="111"/>
      <c r="H126" s="62">
        <f t="shared" si="0"/>
        <v>33</v>
      </c>
      <c r="I126" s="8" t="e">
        <f t="shared" si="1"/>
        <v>#N/A</v>
      </c>
      <c r="J126" s="8" t="e">
        <f t="shared" si="2"/>
        <v>#N/A</v>
      </c>
    </row>
    <row r="127" spans="2:10" ht="13.5" customHeight="1">
      <c r="B127" s="74"/>
      <c r="C127" s="111"/>
      <c r="D127" s="71"/>
      <c r="E127" s="112"/>
      <c r="F127" s="112"/>
      <c r="G127" s="111"/>
      <c r="H127" s="62">
        <f t="shared" si="0"/>
        <v>33</v>
      </c>
      <c r="I127" s="8" t="e">
        <f t="shared" si="1"/>
        <v>#N/A</v>
      </c>
      <c r="J127" s="8" t="e">
        <f t="shared" si="2"/>
        <v>#N/A</v>
      </c>
    </row>
    <row r="128" spans="2:10" ht="13.5" customHeight="1">
      <c r="B128" s="74"/>
      <c r="C128" s="111"/>
      <c r="D128" s="71"/>
      <c r="E128" s="112"/>
      <c r="F128" s="112"/>
      <c r="G128" s="111"/>
      <c r="H128" s="62">
        <f t="shared" si="0"/>
        <v>33</v>
      </c>
      <c r="I128" s="8" t="e">
        <f t="shared" si="1"/>
        <v>#N/A</v>
      </c>
      <c r="J128" s="8" t="e">
        <f t="shared" si="2"/>
        <v>#N/A</v>
      </c>
    </row>
    <row r="129" spans="2:10" ht="13.5" customHeight="1">
      <c r="B129" s="74"/>
      <c r="C129" s="111"/>
      <c r="D129" s="71"/>
      <c r="E129" s="112"/>
      <c r="F129" s="112"/>
      <c r="G129" s="111"/>
      <c r="H129" s="62">
        <f t="shared" si="0"/>
        <v>33</v>
      </c>
      <c r="I129" s="8" t="e">
        <f t="shared" si="1"/>
        <v>#N/A</v>
      </c>
      <c r="J129" s="8" t="e">
        <f t="shared" si="2"/>
        <v>#N/A</v>
      </c>
    </row>
    <row r="130" spans="2:10" ht="13.5" customHeight="1">
      <c r="B130" s="74"/>
      <c r="C130" s="111"/>
      <c r="D130" s="71"/>
      <c r="E130" s="112"/>
      <c r="F130" s="112"/>
      <c r="G130" s="111"/>
      <c r="H130" s="62">
        <f t="shared" si="0"/>
        <v>33</v>
      </c>
      <c r="I130" s="8" t="e">
        <f t="shared" si="1"/>
        <v>#N/A</v>
      </c>
      <c r="J130" s="8" t="e">
        <f t="shared" si="2"/>
        <v>#N/A</v>
      </c>
    </row>
    <row r="131" spans="2:10" ht="13.5" customHeight="1">
      <c r="B131" s="74"/>
      <c r="C131" s="111"/>
      <c r="D131" s="71"/>
      <c r="E131" s="112"/>
      <c r="F131" s="112"/>
      <c r="G131" s="111"/>
      <c r="H131" s="62">
        <f t="shared" si="0"/>
        <v>33</v>
      </c>
      <c r="I131" s="8" t="e">
        <f t="shared" si="1"/>
        <v>#N/A</v>
      </c>
      <c r="J131" s="8" t="e">
        <f t="shared" si="2"/>
        <v>#N/A</v>
      </c>
    </row>
    <row r="132" spans="2:10" ht="13.5" customHeight="1">
      <c r="B132" s="74"/>
      <c r="C132" s="111"/>
      <c r="D132" s="71"/>
      <c r="E132" s="112"/>
      <c r="F132" s="112"/>
      <c r="G132" s="111"/>
      <c r="H132" s="62">
        <f t="shared" si="0"/>
        <v>33</v>
      </c>
      <c r="I132" s="8" t="e">
        <f t="shared" si="1"/>
        <v>#N/A</v>
      </c>
      <c r="J132" s="8" t="e">
        <f t="shared" si="2"/>
        <v>#N/A</v>
      </c>
    </row>
    <row r="133" spans="2:10" ht="13.5" customHeight="1">
      <c r="B133" s="74"/>
      <c r="C133" s="111"/>
      <c r="D133" s="71"/>
      <c r="E133" s="112"/>
      <c r="F133" s="112"/>
      <c r="G133" s="111"/>
      <c r="H133" s="62">
        <f t="shared" si="0"/>
        <v>33</v>
      </c>
      <c r="I133" s="8" t="e">
        <f t="shared" si="1"/>
        <v>#N/A</v>
      </c>
      <c r="J133" s="8" t="e">
        <f t="shared" si="2"/>
        <v>#N/A</v>
      </c>
    </row>
    <row r="134" spans="2:10" ht="13.5" customHeight="1">
      <c r="B134" s="74"/>
      <c r="C134" s="111"/>
      <c r="D134" s="71"/>
      <c r="E134" s="112"/>
      <c r="F134" s="112"/>
      <c r="G134" s="111"/>
      <c r="H134" s="62">
        <f t="shared" si="0"/>
        <v>33</v>
      </c>
      <c r="I134" s="8" t="e">
        <f t="shared" si="1"/>
        <v>#N/A</v>
      </c>
      <c r="J134" s="8" t="e">
        <f t="shared" si="2"/>
        <v>#N/A</v>
      </c>
    </row>
    <row r="135" spans="2:10" ht="13.5" customHeight="1">
      <c r="B135" s="74"/>
      <c r="C135" s="111"/>
      <c r="D135" s="71"/>
      <c r="E135" s="112"/>
      <c r="F135" s="112"/>
      <c r="G135" s="111"/>
      <c r="H135" s="62">
        <f t="shared" si="0"/>
        <v>33</v>
      </c>
      <c r="I135" s="8" t="e">
        <f t="shared" si="1"/>
        <v>#N/A</v>
      </c>
      <c r="J135" s="8" t="e">
        <f t="shared" si="2"/>
        <v>#N/A</v>
      </c>
    </row>
    <row r="136" spans="2:10" ht="13.5" customHeight="1">
      <c r="B136" s="74"/>
      <c r="C136" s="111"/>
      <c r="D136" s="71"/>
      <c r="E136" s="112"/>
      <c r="F136" s="112"/>
      <c r="G136" s="111"/>
      <c r="H136" s="62">
        <f t="shared" si="0"/>
        <v>33</v>
      </c>
      <c r="I136" s="8" t="e">
        <f t="shared" si="1"/>
        <v>#N/A</v>
      </c>
      <c r="J136" s="8" t="e">
        <f t="shared" si="2"/>
        <v>#N/A</v>
      </c>
    </row>
    <row r="137" spans="2:10" ht="13.5" customHeight="1">
      <c r="B137" s="74"/>
      <c r="C137" s="111"/>
      <c r="D137" s="71"/>
      <c r="E137" s="112"/>
      <c r="F137" s="112"/>
      <c r="G137" s="111"/>
      <c r="H137" s="62">
        <f t="shared" si="0"/>
        <v>33</v>
      </c>
      <c r="I137" s="8" t="e">
        <f t="shared" si="1"/>
        <v>#N/A</v>
      </c>
      <c r="J137" s="8" t="e">
        <f t="shared" si="2"/>
        <v>#N/A</v>
      </c>
    </row>
    <row r="138" spans="2:10" ht="13.5" customHeight="1">
      <c r="B138" s="74"/>
      <c r="C138" s="111"/>
      <c r="D138" s="71"/>
      <c r="E138" s="112"/>
      <c r="F138" s="112"/>
      <c r="G138" s="111"/>
      <c r="H138" s="62">
        <f t="shared" ref="H138:H153" si="3">$G$11</f>
        <v>33</v>
      </c>
      <c r="I138" s="8" t="e">
        <f t="shared" ref="I138:I153" si="4">_xlfn.IFS(B138="Gen Bda","261,04",B138="Cel","239,32",B138="Ten Cel","235,12",B138="Maj","231,74",B138="1º Ten","172,32",B138="Cap","190,92",B138="2º Ten","156,54",B138="Asp","152,88",B138="SubTen","128,94",B138="1º Sgt","114,60",B138="2º Sgt","99,70",B138="3º Sgt","79,94",B138="Cb","54,90",B138="Al","27,88",B138="Sd EP","36,88",B138="Sd EV","22,54")</f>
        <v>#N/A</v>
      </c>
      <c r="J138" s="8" t="e">
        <f t="shared" ref="J138:J153" si="5">H138*I138</f>
        <v>#N/A</v>
      </c>
    </row>
    <row r="139" spans="2:10" ht="13.5" customHeight="1">
      <c r="B139" s="74"/>
      <c r="C139" s="111"/>
      <c r="D139" s="71"/>
      <c r="E139" s="112"/>
      <c r="F139" s="112"/>
      <c r="G139" s="111"/>
      <c r="H139" s="62">
        <f t="shared" si="3"/>
        <v>33</v>
      </c>
      <c r="I139" s="8" t="e">
        <f t="shared" si="4"/>
        <v>#N/A</v>
      </c>
      <c r="J139" s="8" t="e">
        <f t="shared" si="5"/>
        <v>#N/A</v>
      </c>
    </row>
    <row r="140" spans="2:10" ht="13.5" customHeight="1">
      <c r="B140" s="74"/>
      <c r="C140" s="111"/>
      <c r="D140" s="71"/>
      <c r="E140" s="112"/>
      <c r="F140" s="112"/>
      <c r="G140" s="111"/>
      <c r="H140" s="62">
        <f t="shared" si="3"/>
        <v>33</v>
      </c>
      <c r="I140" s="8" t="e">
        <f t="shared" si="4"/>
        <v>#N/A</v>
      </c>
      <c r="J140" s="8" t="e">
        <f t="shared" si="5"/>
        <v>#N/A</v>
      </c>
    </row>
    <row r="141" spans="2:10" ht="13.5" customHeight="1">
      <c r="B141" s="74"/>
      <c r="C141" s="111"/>
      <c r="D141" s="71"/>
      <c r="E141" s="112"/>
      <c r="F141" s="112"/>
      <c r="G141" s="111"/>
      <c r="H141" s="62">
        <f t="shared" si="3"/>
        <v>33</v>
      </c>
      <c r="I141" s="8" t="e">
        <f t="shared" si="4"/>
        <v>#N/A</v>
      </c>
      <c r="J141" s="8" t="e">
        <f t="shared" si="5"/>
        <v>#N/A</v>
      </c>
    </row>
    <row r="142" spans="2:10" ht="13.5" customHeight="1">
      <c r="B142" s="74"/>
      <c r="C142" s="111"/>
      <c r="D142" s="71"/>
      <c r="E142" s="112"/>
      <c r="F142" s="112"/>
      <c r="G142" s="111"/>
      <c r="H142" s="62">
        <f t="shared" si="3"/>
        <v>33</v>
      </c>
      <c r="I142" s="8" t="e">
        <f t="shared" si="4"/>
        <v>#N/A</v>
      </c>
      <c r="J142" s="8" t="e">
        <f t="shared" si="5"/>
        <v>#N/A</v>
      </c>
    </row>
    <row r="143" spans="2:10" ht="13.5" customHeight="1">
      <c r="B143" s="74"/>
      <c r="C143" s="111"/>
      <c r="D143" s="71"/>
      <c r="E143" s="112"/>
      <c r="F143" s="112"/>
      <c r="G143" s="111"/>
      <c r="H143" s="62">
        <f t="shared" si="3"/>
        <v>33</v>
      </c>
      <c r="I143" s="8" t="e">
        <f t="shared" si="4"/>
        <v>#N/A</v>
      </c>
      <c r="J143" s="8" t="e">
        <f t="shared" si="5"/>
        <v>#N/A</v>
      </c>
    </row>
    <row r="144" spans="2:10" ht="13.5" customHeight="1">
      <c r="B144" s="74"/>
      <c r="C144" s="111"/>
      <c r="D144" s="71"/>
      <c r="E144" s="112"/>
      <c r="F144" s="112"/>
      <c r="G144" s="111"/>
      <c r="H144" s="62">
        <f t="shared" si="3"/>
        <v>33</v>
      </c>
      <c r="I144" s="8" t="e">
        <f t="shared" si="4"/>
        <v>#N/A</v>
      </c>
      <c r="J144" s="8" t="e">
        <f t="shared" si="5"/>
        <v>#N/A</v>
      </c>
    </row>
    <row r="145" spans="1:10" ht="13.5" customHeight="1">
      <c r="B145" s="74"/>
      <c r="C145" s="111"/>
      <c r="D145" s="71"/>
      <c r="E145" s="112"/>
      <c r="F145" s="112"/>
      <c r="G145" s="111"/>
      <c r="H145" s="62">
        <f t="shared" si="3"/>
        <v>33</v>
      </c>
      <c r="I145" s="8" t="e">
        <f t="shared" si="4"/>
        <v>#N/A</v>
      </c>
      <c r="J145" s="8" t="e">
        <f t="shared" si="5"/>
        <v>#N/A</v>
      </c>
    </row>
    <row r="146" spans="1:10" ht="13.5" customHeight="1">
      <c r="B146" s="74"/>
      <c r="C146" s="111"/>
      <c r="D146" s="71"/>
      <c r="E146" s="112"/>
      <c r="F146" s="112"/>
      <c r="G146" s="111"/>
      <c r="H146" s="62">
        <f t="shared" si="3"/>
        <v>33</v>
      </c>
      <c r="I146" s="8" t="e">
        <f t="shared" si="4"/>
        <v>#N/A</v>
      </c>
      <c r="J146" s="8" t="e">
        <f t="shared" si="5"/>
        <v>#N/A</v>
      </c>
    </row>
    <row r="147" spans="1:10" ht="13.5" customHeight="1">
      <c r="B147" s="74"/>
      <c r="C147" s="111"/>
      <c r="D147" s="71"/>
      <c r="E147" s="112"/>
      <c r="F147" s="112"/>
      <c r="G147" s="111"/>
      <c r="H147" s="62">
        <f t="shared" si="3"/>
        <v>33</v>
      </c>
      <c r="I147" s="8" t="e">
        <f t="shared" si="4"/>
        <v>#N/A</v>
      </c>
      <c r="J147" s="8" t="e">
        <f t="shared" si="5"/>
        <v>#N/A</v>
      </c>
    </row>
    <row r="148" spans="1:10" ht="13.5" customHeight="1">
      <c r="B148" s="74"/>
      <c r="C148" s="111"/>
      <c r="D148" s="71"/>
      <c r="E148" s="112"/>
      <c r="F148" s="112"/>
      <c r="G148" s="111"/>
      <c r="H148" s="62">
        <f t="shared" si="3"/>
        <v>33</v>
      </c>
      <c r="I148" s="8" t="e">
        <f t="shared" si="4"/>
        <v>#N/A</v>
      </c>
      <c r="J148" s="8" t="e">
        <f t="shared" si="5"/>
        <v>#N/A</v>
      </c>
    </row>
    <row r="149" spans="1:10" ht="13.5" customHeight="1">
      <c r="B149" s="74"/>
      <c r="C149" s="111"/>
      <c r="D149" s="71"/>
      <c r="E149" s="112"/>
      <c r="F149" s="112"/>
      <c r="G149" s="111"/>
      <c r="H149" s="62">
        <f t="shared" si="3"/>
        <v>33</v>
      </c>
      <c r="I149" s="8" t="e">
        <f t="shared" si="4"/>
        <v>#N/A</v>
      </c>
      <c r="J149" s="8" t="e">
        <f t="shared" si="5"/>
        <v>#N/A</v>
      </c>
    </row>
    <row r="150" spans="1:10" ht="13.5" customHeight="1">
      <c r="B150" s="74"/>
      <c r="C150" s="111"/>
      <c r="D150" s="71"/>
      <c r="E150" s="112"/>
      <c r="F150" s="112"/>
      <c r="G150" s="111"/>
      <c r="H150" s="62">
        <f t="shared" si="3"/>
        <v>33</v>
      </c>
      <c r="I150" s="8" t="e">
        <f t="shared" si="4"/>
        <v>#N/A</v>
      </c>
      <c r="J150" s="8" t="e">
        <f t="shared" si="5"/>
        <v>#N/A</v>
      </c>
    </row>
    <row r="151" spans="1:10" ht="13.5" customHeight="1">
      <c r="B151" s="74"/>
      <c r="C151" s="111"/>
      <c r="D151" s="71"/>
      <c r="E151" s="112"/>
      <c r="F151" s="112"/>
      <c r="G151" s="111"/>
      <c r="H151" s="62">
        <f t="shared" si="3"/>
        <v>33</v>
      </c>
      <c r="I151" s="8" t="e">
        <f t="shared" si="4"/>
        <v>#N/A</v>
      </c>
      <c r="J151" s="8" t="e">
        <f t="shared" si="5"/>
        <v>#N/A</v>
      </c>
    </row>
    <row r="152" spans="1:10" ht="13.5" customHeight="1">
      <c r="B152" s="74"/>
      <c r="C152" s="111"/>
      <c r="D152" s="71"/>
      <c r="E152" s="112"/>
      <c r="F152" s="112"/>
      <c r="G152" s="111"/>
      <c r="H152" s="62">
        <f t="shared" si="3"/>
        <v>33</v>
      </c>
      <c r="I152" s="8" t="e">
        <f t="shared" si="4"/>
        <v>#N/A</v>
      </c>
      <c r="J152" s="8" t="e">
        <f t="shared" si="5"/>
        <v>#N/A</v>
      </c>
    </row>
    <row r="153" spans="1:10" ht="13.5" customHeight="1">
      <c r="B153" s="74"/>
      <c r="C153" s="111"/>
      <c r="D153" s="71"/>
      <c r="E153" s="112"/>
      <c r="F153" s="112"/>
      <c r="G153" s="111"/>
      <c r="H153" s="62">
        <f t="shared" si="3"/>
        <v>33</v>
      </c>
      <c r="I153" s="8" t="e">
        <f t="shared" si="4"/>
        <v>#N/A</v>
      </c>
      <c r="J153" s="8" t="e">
        <f t="shared" si="5"/>
        <v>#N/A</v>
      </c>
    </row>
    <row r="154" spans="1:10" ht="13.5" customHeight="1">
      <c r="B154" s="105" t="s">
        <v>32</v>
      </c>
      <c r="C154" s="106"/>
      <c r="D154" s="106"/>
      <c r="E154" s="106"/>
      <c r="F154" s="106"/>
      <c r="G154" s="106"/>
      <c r="H154" s="106"/>
      <c r="I154" s="107"/>
      <c r="J154" s="9" t="e">
        <f>SUM(J16:J53)</f>
        <v>#N/A</v>
      </c>
    </row>
    <row r="155" spans="1:10" ht="25.5" customHeight="1">
      <c r="B155" s="108" t="str">
        <f>CONCATENATE("Observações ligadas à missão: Deslocamento para a cidade de ",$A$13,", com a finalidade ",INFO!$B$22)</f>
        <v>Observações ligadas à missão: Deslocamento para a cidade de GUAIRA - PR, com a finalidade PARTICIPAR DA OPERAÇÃO HORUS.</v>
      </c>
      <c r="C155" s="109"/>
      <c r="D155" s="109"/>
      <c r="E155" s="109"/>
      <c r="F155" s="109"/>
      <c r="G155" s="109"/>
      <c r="H155" s="109"/>
      <c r="I155" s="109"/>
      <c r="J155" s="110"/>
    </row>
    <row r="156" spans="1:10" ht="15">
      <c r="B156" s="10"/>
      <c r="C156" s="10"/>
      <c r="D156" s="10"/>
      <c r="E156" s="10"/>
      <c r="F156" s="10"/>
      <c r="G156" s="10"/>
      <c r="H156" s="10"/>
      <c r="I156" s="10"/>
      <c r="J156" s="10"/>
    </row>
    <row r="157" spans="1:10" ht="15">
      <c r="F157" s="11"/>
    </row>
    <row r="158" spans="1:10" ht="15">
      <c r="A158" s="70" t="s">
        <v>33</v>
      </c>
      <c r="B158" s="70"/>
      <c r="C158" s="103" t="s">
        <v>34</v>
      </c>
      <c r="D158" s="103"/>
      <c r="E158" s="103"/>
      <c r="F158" s="103"/>
      <c r="G158" s="103"/>
      <c r="H158" s="103"/>
      <c r="I158" s="103"/>
      <c r="J158" s="103"/>
    </row>
    <row r="159" spans="1:10" ht="15.75" customHeight="1">
      <c r="A159" s="70" t="str">
        <f ca="1">" " &amp; DAY(TODAY()) &amp; " de " &amp; TEXT(TODAY(),"MMMM") &amp; " de " &amp; YEAR(TODAY())</f>
        <v xml:space="preserve"> 26 de novembro de 2025</v>
      </c>
      <c r="B159" s="70"/>
      <c r="C159" s="104" t="s">
        <v>35</v>
      </c>
      <c r="D159" s="104"/>
      <c r="E159" s="104"/>
      <c r="F159" s="104"/>
      <c r="G159" s="104"/>
      <c r="H159" s="104"/>
      <c r="I159" s="104"/>
      <c r="J159" s="104"/>
    </row>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sheetData>
  <mergeCells count="309">
    <mergeCell ref="D151:G151"/>
    <mergeCell ref="D152:G152"/>
    <mergeCell ref="D153:G153"/>
    <mergeCell ref="C158:J158"/>
    <mergeCell ref="C159:J159"/>
    <mergeCell ref="A158:B158"/>
    <mergeCell ref="A159:B159"/>
    <mergeCell ref="B154:I154"/>
    <mergeCell ref="B155:J155"/>
    <mergeCell ref="D142:G142"/>
    <mergeCell ref="D143:G143"/>
    <mergeCell ref="D144:G144"/>
    <mergeCell ref="D145:G145"/>
    <mergeCell ref="D146:G146"/>
    <mergeCell ref="D147:G147"/>
    <mergeCell ref="D148:G148"/>
    <mergeCell ref="D149:G149"/>
    <mergeCell ref="D150:G150"/>
    <mergeCell ref="D133:G133"/>
    <mergeCell ref="D134:G134"/>
    <mergeCell ref="D135:G135"/>
    <mergeCell ref="D136:G136"/>
    <mergeCell ref="D137:G137"/>
    <mergeCell ref="D138:G138"/>
    <mergeCell ref="D139:G139"/>
    <mergeCell ref="D140:G140"/>
    <mergeCell ref="D141:G141"/>
    <mergeCell ref="D124:G124"/>
    <mergeCell ref="D125:G125"/>
    <mergeCell ref="D126:G126"/>
    <mergeCell ref="D127:G127"/>
    <mergeCell ref="D128:G128"/>
    <mergeCell ref="D129:G129"/>
    <mergeCell ref="D130:G130"/>
    <mergeCell ref="D131:G131"/>
    <mergeCell ref="D132:G132"/>
    <mergeCell ref="D115:G115"/>
    <mergeCell ref="D116:G116"/>
    <mergeCell ref="D117:G117"/>
    <mergeCell ref="D118:G118"/>
    <mergeCell ref="D119:G119"/>
    <mergeCell ref="D120:G120"/>
    <mergeCell ref="D121:G121"/>
    <mergeCell ref="D122:G122"/>
    <mergeCell ref="D123:G123"/>
    <mergeCell ref="D106:G106"/>
    <mergeCell ref="D107:G107"/>
    <mergeCell ref="D108:G108"/>
    <mergeCell ref="D109:G109"/>
    <mergeCell ref="D110:G110"/>
    <mergeCell ref="D111:G111"/>
    <mergeCell ref="D112:G112"/>
    <mergeCell ref="D113:G113"/>
    <mergeCell ref="D114:G114"/>
    <mergeCell ref="D97:G97"/>
    <mergeCell ref="D98:G98"/>
    <mergeCell ref="D99:G99"/>
    <mergeCell ref="D100:G100"/>
    <mergeCell ref="D101:G101"/>
    <mergeCell ref="D102:G102"/>
    <mergeCell ref="D103:G103"/>
    <mergeCell ref="D104:G104"/>
    <mergeCell ref="D105:G105"/>
    <mergeCell ref="B152:C152"/>
    <mergeCell ref="B153:C153"/>
    <mergeCell ref="D75:G75"/>
    <mergeCell ref="D76:G76"/>
    <mergeCell ref="D77:G77"/>
    <mergeCell ref="D78:G78"/>
    <mergeCell ref="D79:G79"/>
    <mergeCell ref="D80:G80"/>
    <mergeCell ref="D81:G81"/>
    <mergeCell ref="D82:G82"/>
    <mergeCell ref="D83:G83"/>
    <mergeCell ref="D84:G84"/>
    <mergeCell ref="D85:G85"/>
    <mergeCell ref="D86:G86"/>
    <mergeCell ref="D87:G87"/>
    <mergeCell ref="D88:G88"/>
    <mergeCell ref="D89:G89"/>
    <mergeCell ref="D90:G90"/>
    <mergeCell ref="D91:G91"/>
    <mergeCell ref="D92:G92"/>
    <mergeCell ref="D93:G93"/>
    <mergeCell ref="D94:G94"/>
    <mergeCell ref="D95:G95"/>
    <mergeCell ref="D96:G96"/>
    <mergeCell ref="B143:C143"/>
    <mergeCell ref="B144:C144"/>
    <mergeCell ref="B145:C145"/>
    <mergeCell ref="B146:C146"/>
    <mergeCell ref="B147:C147"/>
    <mergeCell ref="B148:C148"/>
    <mergeCell ref="B149:C149"/>
    <mergeCell ref="B150:C150"/>
    <mergeCell ref="B151:C151"/>
    <mergeCell ref="B134:C134"/>
    <mergeCell ref="B135:C135"/>
    <mergeCell ref="B136:C136"/>
    <mergeCell ref="B137:C137"/>
    <mergeCell ref="B138:C138"/>
    <mergeCell ref="B139:C139"/>
    <mergeCell ref="B140:C140"/>
    <mergeCell ref="B141:C141"/>
    <mergeCell ref="B142:C142"/>
    <mergeCell ref="B125:C125"/>
    <mergeCell ref="B126:C126"/>
    <mergeCell ref="B127:C127"/>
    <mergeCell ref="B128:C128"/>
    <mergeCell ref="B129:C129"/>
    <mergeCell ref="B130:C130"/>
    <mergeCell ref="B131:C131"/>
    <mergeCell ref="B132:C132"/>
    <mergeCell ref="B133:C133"/>
    <mergeCell ref="B116:C116"/>
    <mergeCell ref="B117:C117"/>
    <mergeCell ref="B118:C118"/>
    <mergeCell ref="B119:C119"/>
    <mergeCell ref="B120:C120"/>
    <mergeCell ref="B121:C121"/>
    <mergeCell ref="B122:C122"/>
    <mergeCell ref="B123:C123"/>
    <mergeCell ref="B124:C124"/>
    <mergeCell ref="B107:C107"/>
    <mergeCell ref="B108:C108"/>
    <mergeCell ref="B109:C109"/>
    <mergeCell ref="B110:C110"/>
    <mergeCell ref="B111:C111"/>
    <mergeCell ref="B112:C112"/>
    <mergeCell ref="B113:C113"/>
    <mergeCell ref="B114:C114"/>
    <mergeCell ref="B115:C115"/>
    <mergeCell ref="B98:C98"/>
    <mergeCell ref="B99:C99"/>
    <mergeCell ref="B100:C100"/>
    <mergeCell ref="B101:C101"/>
    <mergeCell ref="B102:C102"/>
    <mergeCell ref="B103:C103"/>
    <mergeCell ref="B104:C104"/>
    <mergeCell ref="B105:C105"/>
    <mergeCell ref="B106:C106"/>
    <mergeCell ref="B89:C89"/>
    <mergeCell ref="B90:C90"/>
    <mergeCell ref="B91:C91"/>
    <mergeCell ref="B92:C92"/>
    <mergeCell ref="B93:C93"/>
    <mergeCell ref="B94:C94"/>
    <mergeCell ref="B95:C95"/>
    <mergeCell ref="B96:C96"/>
    <mergeCell ref="B97:C97"/>
    <mergeCell ref="B80:C80"/>
    <mergeCell ref="B81:C81"/>
    <mergeCell ref="B82:C82"/>
    <mergeCell ref="B83:C83"/>
    <mergeCell ref="B84:C84"/>
    <mergeCell ref="B85:C85"/>
    <mergeCell ref="B86:C86"/>
    <mergeCell ref="B87:C87"/>
    <mergeCell ref="B88:C88"/>
    <mergeCell ref="D46:G46"/>
    <mergeCell ref="B73:C73"/>
    <mergeCell ref="D40:G40"/>
    <mergeCell ref="A1:J1"/>
    <mergeCell ref="G11:G13"/>
    <mergeCell ref="D57:G57"/>
    <mergeCell ref="B65:C65"/>
    <mergeCell ref="D32:G32"/>
    <mergeCell ref="B74:C74"/>
    <mergeCell ref="G6:J6"/>
    <mergeCell ref="D41:G41"/>
    <mergeCell ref="B68:C68"/>
    <mergeCell ref="B8:E8"/>
    <mergeCell ref="D16:G16"/>
    <mergeCell ref="B36:C36"/>
    <mergeCell ref="B50:C50"/>
    <mergeCell ref="D43:G43"/>
    <mergeCell ref="B75:C75"/>
    <mergeCell ref="B76:C76"/>
    <mergeCell ref="B77:C77"/>
    <mergeCell ref="B78:C78"/>
    <mergeCell ref="B79:C79"/>
    <mergeCell ref="B46:C46"/>
    <mergeCell ref="D30:G30"/>
    <mergeCell ref="D67:G67"/>
    <mergeCell ref="A6:B6"/>
    <mergeCell ref="B39:C39"/>
    <mergeCell ref="D54:G54"/>
    <mergeCell ref="B70:C70"/>
    <mergeCell ref="D23:G23"/>
    <mergeCell ref="B48:C48"/>
    <mergeCell ref="D69:G69"/>
    <mergeCell ref="B23:C23"/>
    <mergeCell ref="B10:B11"/>
    <mergeCell ref="B57:C57"/>
    <mergeCell ref="B44:C44"/>
    <mergeCell ref="D65:G65"/>
    <mergeCell ref="B19:C19"/>
    <mergeCell ref="B34:C34"/>
    <mergeCell ref="A5:B5"/>
    <mergeCell ref="D52:G52"/>
    <mergeCell ref="B28:C28"/>
    <mergeCell ref="D49:G49"/>
    <mergeCell ref="D27:G27"/>
    <mergeCell ref="B30:C30"/>
    <mergeCell ref="D17:G17"/>
    <mergeCell ref="D66:G66"/>
    <mergeCell ref="B20:C20"/>
    <mergeCell ref="B45:C45"/>
    <mergeCell ref="A15:A18"/>
    <mergeCell ref="D6:F6"/>
    <mergeCell ref="D28:G28"/>
    <mergeCell ref="B9:E9"/>
    <mergeCell ref="B47:C47"/>
    <mergeCell ref="B62:C62"/>
    <mergeCell ref="B59:C59"/>
    <mergeCell ref="D25:G25"/>
    <mergeCell ref="B27:C27"/>
    <mergeCell ref="D26:G26"/>
    <mergeCell ref="K1:S18"/>
    <mergeCell ref="D35:G35"/>
    <mergeCell ref="D50:G50"/>
    <mergeCell ref="D44:G44"/>
    <mergeCell ref="D4:J5"/>
    <mergeCell ref="D19:G19"/>
    <mergeCell ref="D34:G34"/>
    <mergeCell ref="B53:C53"/>
    <mergeCell ref="B29:C29"/>
    <mergeCell ref="D36:G36"/>
    <mergeCell ref="B37:C37"/>
    <mergeCell ref="A7:J7"/>
    <mergeCell ref="I8:J8"/>
    <mergeCell ref="D61:G61"/>
    <mergeCell ref="B15:C15"/>
    <mergeCell ref="D53:G53"/>
    <mergeCell ref="D47:G47"/>
    <mergeCell ref="A2:J2"/>
    <mergeCell ref="D37:G37"/>
    <mergeCell ref="I9:J9"/>
    <mergeCell ref="B25:C25"/>
    <mergeCell ref="D58:G58"/>
    <mergeCell ref="D24:G24"/>
    <mergeCell ref="D64:G64"/>
    <mergeCell ref="B66:C66"/>
    <mergeCell ref="D33:G33"/>
    <mergeCell ref="D73:G73"/>
    <mergeCell ref="B18:C18"/>
    <mergeCell ref="D42:G42"/>
    <mergeCell ref="D51:G51"/>
    <mergeCell ref="B54:C54"/>
    <mergeCell ref="B72:C72"/>
    <mergeCell ref="D39:G39"/>
    <mergeCell ref="D29:G29"/>
    <mergeCell ref="B56:C56"/>
    <mergeCell ref="B71:C71"/>
    <mergeCell ref="D38:G38"/>
    <mergeCell ref="B43:C43"/>
    <mergeCell ref="B58:C58"/>
    <mergeCell ref="B52:C52"/>
    <mergeCell ref="B42:C42"/>
    <mergeCell ref="B60:C60"/>
    <mergeCell ref="D63:G63"/>
    <mergeCell ref="B55:C55"/>
    <mergeCell ref="D70:G70"/>
    <mergeCell ref="B24:C24"/>
    <mergeCell ref="D48:G48"/>
    <mergeCell ref="B64:C64"/>
    <mergeCell ref="B33:C33"/>
    <mergeCell ref="B51:C51"/>
    <mergeCell ref="A3:J3"/>
    <mergeCell ref="D72:G72"/>
    <mergeCell ref="B32:C32"/>
    <mergeCell ref="B63:C63"/>
    <mergeCell ref="B26:C26"/>
    <mergeCell ref="B41:C41"/>
    <mergeCell ref="B35:C35"/>
    <mergeCell ref="D62:G62"/>
    <mergeCell ref="D56:G56"/>
    <mergeCell ref="D71:G71"/>
    <mergeCell ref="B16:C16"/>
    <mergeCell ref="A14:J14"/>
    <mergeCell ref="D15:G15"/>
    <mergeCell ref="H13:J13"/>
    <mergeCell ref="B17:C17"/>
    <mergeCell ref="A4:B4"/>
    <mergeCell ref="H10:J10"/>
    <mergeCell ref="D18:G18"/>
    <mergeCell ref="B12:B13"/>
    <mergeCell ref="D74:G74"/>
    <mergeCell ref="F8:H8"/>
    <mergeCell ref="D68:G68"/>
    <mergeCell ref="B22:C22"/>
    <mergeCell ref="B31:C31"/>
    <mergeCell ref="D55:G55"/>
    <mergeCell ref="H11:J11"/>
    <mergeCell ref="B21:C21"/>
    <mergeCell ref="D59:G59"/>
    <mergeCell ref="D20:G20"/>
    <mergeCell ref="B67:C67"/>
    <mergeCell ref="D60:G60"/>
    <mergeCell ref="B61:C61"/>
    <mergeCell ref="F9:H9"/>
    <mergeCell ref="D22:G22"/>
    <mergeCell ref="B69:C69"/>
    <mergeCell ref="B38:C38"/>
    <mergeCell ref="D31:G31"/>
    <mergeCell ref="D45:G45"/>
    <mergeCell ref="D21:G21"/>
    <mergeCell ref="B40:C40"/>
    <mergeCell ref="B49:C49"/>
  </mergeCells>
  <conditionalFormatting sqref="C6">
    <cfRule type="expression" dxfId="1" priority="2">
      <formula>LEN(TRIM(C6))=0</formula>
    </cfRule>
    <cfRule type="expression" dxfId="0" priority="3">
      <formula>LEN(TRIM(C6))=0</formula>
    </cfRule>
  </conditionalFormatting>
  <dataValidations count="1">
    <dataValidation operator="equal" allowBlank="1" showInputMessage="1" showErrorMessage="1" promptTitle="Bizu de cálculo" prompt="Soma-se 8 horas do horário de saída. (1 dia de GR). A partir daí a cada 24 h conta-se mais 1 dia de GR" sqref="G11:G13" xr:uid="{00000000-0002-0000-0000-000000000000}">
      <formula1>0</formula1>
      <formula2>0</formula2>
    </dataValidation>
  </dataValidations>
  <pageMargins left="0.25" right="0.25" top="0.75" bottom="0.75"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5"/>
  <sheetViews>
    <sheetView zoomScale="110" zoomScaleNormal="110" workbookViewId="0">
      <selection activeCell="C17" sqref="C17"/>
    </sheetView>
  </sheetViews>
  <sheetFormatPr defaultColWidth="11.7109375" defaultRowHeight="13.5" customHeight="1"/>
  <cols>
    <col min="1" max="1" width="16.140625" style="12" customWidth="1"/>
    <col min="2" max="2" width="18.85546875" style="12" customWidth="1"/>
    <col min="3" max="3" width="28.42578125" style="13" customWidth="1"/>
    <col min="4" max="4" width="11.7109375" style="12" customWidth="1"/>
    <col min="5" max="16384" width="11.7109375" style="12"/>
  </cols>
  <sheetData>
    <row r="1" spans="1:14" ht="15" customHeight="1">
      <c r="A1" s="14"/>
      <c r="B1" s="14"/>
      <c r="C1" s="15"/>
      <c r="D1" s="16"/>
      <c r="E1" s="16"/>
      <c r="F1" s="16"/>
      <c r="G1" s="16"/>
      <c r="H1" s="16"/>
      <c r="I1" s="16"/>
      <c r="J1" s="16"/>
      <c r="K1" s="16"/>
      <c r="L1" s="16"/>
      <c r="M1" s="16"/>
      <c r="N1" s="16"/>
    </row>
    <row r="2" spans="1:14" ht="15" customHeight="1">
      <c r="A2" s="89" t="s">
        <v>36</v>
      </c>
      <c r="B2" s="111"/>
      <c r="C2" s="65">
        <v>32</v>
      </c>
      <c r="D2" s="17"/>
      <c r="E2" s="16"/>
      <c r="F2" s="16"/>
      <c r="G2" s="16"/>
      <c r="H2" s="16"/>
      <c r="I2" s="16"/>
      <c r="J2" s="16"/>
      <c r="K2" s="16"/>
      <c r="L2" s="16"/>
      <c r="M2" s="16"/>
      <c r="N2" s="16"/>
    </row>
    <row r="3" spans="1:14" ht="15" customHeight="1">
      <c r="A3" s="94"/>
      <c r="B3" s="112"/>
      <c r="C3" s="112"/>
      <c r="D3" s="17"/>
      <c r="E3" s="16"/>
      <c r="F3" s="16"/>
      <c r="G3" s="16"/>
      <c r="H3" s="16"/>
      <c r="I3" s="16"/>
      <c r="J3" s="16"/>
      <c r="K3" s="16"/>
      <c r="L3" s="16"/>
      <c r="M3" s="16"/>
      <c r="N3" s="16"/>
    </row>
    <row r="4" spans="1:14" ht="15" customHeight="1">
      <c r="A4" s="90" t="s">
        <v>37</v>
      </c>
      <c r="B4" s="18" t="s">
        <v>38</v>
      </c>
      <c r="C4" s="19">
        <v>22</v>
      </c>
      <c r="D4" s="17"/>
      <c r="E4" s="16"/>
      <c r="F4" s="16"/>
      <c r="G4" s="16"/>
      <c r="H4" s="16"/>
      <c r="I4" s="16"/>
      <c r="J4" s="16"/>
      <c r="K4" s="16"/>
      <c r="L4" s="16"/>
      <c r="M4" s="16"/>
      <c r="N4" s="16"/>
    </row>
    <row r="5" spans="1:14" ht="15" customHeight="1">
      <c r="A5" s="114"/>
      <c r="B5" s="18" t="s">
        <v>39</v>
      </c>
      <c r="C5" s="19">
        <v>7</v>
      </c>
      <c r="D5" s="17"/>
      <c r="E5" s="16"/>
      <c r="F5" s="16"/>
      <c r="G5" s="16"/>
      <c r="H5" s="16"/>
      <c r="I5" s="16"/>
      <c r="J5" s="16"/>
      <c r="K5" s="16"/>
      <c r="L5" s="16"/>
      <c r="M5" s="16"/>
      <c r="N5" s="16"/>
    </row>
    <row r="6" spans="1:14" ht="15" hidden="1" customHeight="1">
      <c r="A6" s="114"/>
      <c r="B6" s="18" t="s">
        <v>40</v>
      </c>
      <c r="C6" s="19">
        <v>2025</v>
      </c>
      <c r="D6" s="17"/>
      <c r="E6" s="16"/>
      <c r="F6" s="16"/>
      <c r="G6" s="16"/>
      <c r="H6" s="16"/>
      <c r="I6" s="16"/>
      <c r="J6" s="16"/>
      <c r="K6" s="16"/>
      <c r="L6" s="16"/>
      <c r="M6" s="16"/>
      <c r="N6" s="16"/>
    </row>
    <row r="7" spans="1:14" ht="15" customHeight="1">
      <c r="A7" s="114"/>
      <c r="B7" s="18" t="s">
        <v>41</v>
      </c>
      <c r="C7" s="19">
        <v>700</v>
      </c>
      <c r="D7" s="17"/>
      <c r="E7" s="16"/>
      <c r="F7" s="16"/>
      <c r="G7" s="16"/>
      <c r="H7" s="16"/>
      <c r="I7" s="16"/>
      <c r="J7" s="16"/>
      <c r="K7" s="16"/>
      <c r="L7" s="16"/>
      <c r="M7" s="16"/>
      <c r="N7" s="16"/>
    </row>
    <row r="8" spans="1:14" ht="15" hidden="1" customHeight="1">
      <c r="A8" s="114"/>
      <c r="B8" s="18"/>
      <c r="C8" s="20">
        <f>TIME(INT(C7/100),MOD(C7,100),0)</f>
        <v>0.29166666666666669</v>
      </c>
      <c r="D8" s="17"/>
      <c r="E8" s="16"/>
      <c r="F8" s="16"/>
      <c r="G8" s="16"/>
      <c r="H8" s="16"/>
      <c r="I8" s="16"/>
      <c r="J8" s="16"/>
      <c r="K8" s="16"/>
      <c r="L8" s="16"/>
      <c r="M8" s="16"/>
      <c r="N8" s="16"/>
    </row>
    <row r="9" spans="1:14" ht="15" customHeight="1">
      <c r="A9" s="114"/>
      <c r="B9" s="18" t="s">
        <v>42</v>
      </c>
      <c r="C9" s="92" t="s">
        <v>43</v>
      </c>
      <c r="D9" s="112"/>
      <c r="E9" s="111"/>
      <c r="F9" s="16"/>
      <c r="G9" s="16"/>
      <c r="H9" s="16"/>
      <c r="I9" s="16"/>
      <c r="J9" s="16"/>
      <c r="K9" s="16"/>
      <c r="L9" s="16"/>
      <c r="M9" s="16"/>
      <c r="N9" s="16"/>
    </row>
    <row r="10" spans="1:14" ht="15" customHeight="1">
      <c r="A10" s="113"/>
      <c r="B10" s="18" t="s">
        <v>44</v>
      </c>
      <c r="C10" s="21" t="str">
        <f>CONCATENATE(C4,"/",C5,"/",C6," ",)</f>
        <v xml:space="preserve">22/7/2025 </v>
      </c>
      <c r="D10" s="17"/>
      <c r="E10" s="16"/>
      <c r="F10" s="16"/>
      <c r="G10" s="16"/>
      <c r="H10" s="16"/>
      <c r="I10" s="16"/>
      <c r="J10" s="16"/>
      <c r="K10" s="16"/>
      <c r="L10" s="16"/>
      <c r="M10" s="16"/>
      <c r="N10" s="16"/>
    </row>
    <row r="11" spans="1:14" ht="15" hidden="1" customHeight="1">
      <c r="A11" s="22">
        <f>C16-C8</f>
        <v>0.41666666666666669</v>
      </c>
      <c r="B11" s="22">
        <v>0.33333333333333331</v>
      </c>
      <c r="C11" s="23">
        <f>IF(A11&lt;B11,0,1)</f>
        <v>1</v>
      </c>
      <c r="D11" s="17"/>
      <c r="E11" s="16"/>
      <c r="F11" s="16"/>
      <c r="G11" s="16"/>
      <c r="H11" s="16"/>
      <c r="I11" s="16"/>
      <c r="J11" s="16"/>
      <c r="K11" s="16"/>
      <c r="L11" s="16"/>
      <c r="M11" s="16"/>
      <c r="N11" s="16"/>
    </row>
    <row r="12" spans="1:14" ht="15" customHeight="1">
      <c r="A12" s="91" t="s">
        <v>45</v>
      </c>
      <c r="B12" s="24" t="s">
        <v>38</v>
      </c>
      <c r="C12" s="25">
        <v>23</v>
      </c>
      <c r="D12" s="17"/>
      <c r="E12" s="16"/>
      <c r="F12" s="16"/>
      <c r="G12" s="16"/>
      <c r="H12" s="16"/>
      <c r="I12" s="16"/>
      <c r="J12" s="16"/>
      <c r="K12" s="16"/>
      <c r="L12" s="16"/>
      <c r="M12" s="16"/>
      <c r="N12" s="16"/>
    </row>
    <row r="13" spans="1:14" s="26" customFormat="1" ht="15" customHeight="1">
      <c r="A13" s="114"/>
      <c r="B13" s="24" t="s">
        <v>39</v>
      </c>
      <c r="C13" s="25">
        <v>8</v>
      </c>
      <c r="D13" s="17"/>
      <c r="E13" s="16"/>
      <c r="F13" s="16"/>
      <c r="G13" s="16"/>
      <c r="H13" s="16"/>
      <c r="I13" s="16"/>
      <c r="J13" s="16"/>
      <c r="K13" s="16"/>
      <c r="L13" s="16"/>
      <c r="M13" s="16"/>
      <c r="N13" s="16"/>
    </row>
    <row r="14" spans="1:14" ht="15" hidden="1" customHeight="1">
      <c r="A14" s="114"/>
      <c r="B14" s="24" t="s">
        <v>40</v>
      </c>
      <c r="C14" s="25">
        <v>2025</v>
      </c>
      <c r="D14" s="17"/>
      <c r="E14" s="16"/>
      <c r="F14" s="16"/>
      <c r="G14" s="16"/>
      <c r="H14" s="16"/>
      <c r="I14" s="16"/>
      <c r="J14" s="16"/>
      <c r="K14" s="16"/>
      <c r="L14" s="16"/>
      <c r="M14" s="16"/>
      <c r="N14" s="16"/>
    </row>
    <row r="15" spans="1:14" ht="14.25" customHeight="1">
      <c r="A15" s="114"/>
      <c r="B15" s="24" t="s">
        <v>41</v>
      </c>
      <c r="C15" s="25">
        <v>1700</v>
      </c>
      <c r="D15" s="17"/>
      <c r="E15" s="16"/>
      <c r="F15" s="16"/>
      <c r="G15" s="16"/>
      <c r="H15" s="16"/>
      <c r="I15" s="16"/>
      <c r="J15" s="16"/>
      <c r="K15" s="16"/>
      <c r="L15" s="16"/>
      <c r="M15" s="16"/>
      <c r="N15" s="16"/>
    </row>
    <row r="16" spans="1:14" ht="15" hidden="1" customHeight="1">
      <c r="A16" s="114"/>
      <c r="B16" s="24" t="s">
        <v>41</v>
      </c>
      <c r="C16" s="27">
        <f>TIME(INT(C15/100),MOD(C15,100),0)</f>
        <v>0.70833333333333337</v>
      </c>
      <c r="D16" s="17"/>
      <c r="E16" s="16"/>
      <c r="F16" s="16"/>
      <c r="G16" s="16"/>
      <c r="H16" s="16"/>
      <c r="I16" s="16"/>
      <c r="J16" s="16"/>
      <c r="K16" s="16"/>
      <c r="L16" s="16"/>
      <c r="M16" s="16"/>
      <c r="N16" s="16"/>
    </row>
    <row r="17" spans="1:14" ht="15" customHeight="1">
      <c r="A17" s="114"/>
      <c r="B17" s="24" t="s">
        <v>42</v>
      </c>
      <c r="C17" s="28" t="s">
        <v>43</v>
      </c>
      <c r="D17" s="17"/>
      <c r="E17" s="16"/>
      <c r="F17" s="16"/>
      <c r="G17" s="16"/>
      <c r="H17" s="16"/>
      <c r="I17" s="16"/>
      <c r="J17" s="16"/>
      <c r="K17" s="16"/>
      <c r="L17" s="16"/>
      <c r="M17" s="16"/>
      <c r="N17" s="16"/>
    </row>
    <row r="18" spans="1:14" ht="23.25" customHeight="1">
      <c r="A18" s="114"/>
      <c r="B18" s="24" t="s">
        <v>46</v>
      </c>
      <c r="C18" s="25" t="s">
        <v>47</v>
      </c>
      <c r="D18" s="17"/>
      <c r="E18" s="16"/>
      <c r="F18" s="16"/>
      <c r="G18" s="16"/>
      <c r="H18" s="16"/>
      <c r="I18" s="16"/>
      <c r="J18" s="16"/>
      <c r="K18" s="16"/>
      <c r="L18" s="16"/>
      <c r="M18" s="16"/>
      <c r="N18" s="16"/>
    </row>
    <row r="19" spans="1:14" ht="21" hidden="1" customHeight="1">
      <c r="A19" s="114"/>
      <c r="B19" s="24" t="s">
        <v>44</v>
      </c>
      <c r="C19" s="29" t="str">
        <f>CONCATENATE(C12,"/",C13,"/",C14," ",)</f>
        <v xml:space="preserve">23/8/2025 </v>
      </c>
      <c r="D19" s="17"/>
      <c r="E19" s="16"/>
      <c r="F19" s="16"/>
      <c r="G19" s="16"/>
      <c r="H19" s="16"/>
      <c r="I19" s="16"/>
      <c r="J19" s="16"/>
      <c r="K19" s="16"/>
      <c r="L19" s="16"/>
      <c r="M19" s="16"/>
      <c r="N19" s="16"/>
    </row>
    <row r="20" spans="1:14" ht="15" customHeight="1">
      <c r="A20" s="113"/>
      <c r="B20" s="24" t="s">
        <v>48</v>
      </c>
      <c r="C20" s="25">
        <f>(C19-C10)+C11</f>
        <v>33</v>
      </c>
      <c r="D20" s="17"/>
      <c r="E20" s="16"/>
      <c r="F20" s="16"/>
      <c r="G20" s="16"/>
      <c r="H20" s="16"/>
      <c r="I20" s="16"/>
      <c r="J20" s="16"/>
      <c r="K20" s="16"/>
      <c r="L20" s="16"/>
      <c r="M20" s="16"/>
      <c r="N20" s="16"/>
    </row>
    <row r="21" spans="1:14" ht="15" customHeight="1">
      <c r="A21" s="118"/>
      <c r="B21" s="112"/>
      <c r="C21" s="111"/>
      <c r="D21" s="17"/>
      <c r="E21" s="16"/>
      <c r="F21" s="16"/>
      <c r="G21" s="16"/>
      <c r="H21" s="16"/>
      <c r="I21" s="16"/>
      <c r="J21" s="16"/>
      <c r="K21" s="16"/>
      <c r="L21" s="16"/>
      <c r="M21" s="16"/>
      <c r="N21" s="16"/>
    </row>
    <row r="22" spans="1:14" ht="33.75" customHeight="1">
      <c r="A22" s="64" t="s">
        <v>49</v>
      </c>
      <c r="B22" s="93" t="s">
        <v>50</v>
      </c>
      <c r="C22" s="111"/>
      <c r="D22" s="30"/>
      <c r="E22" s="31"/>
      <c r="F22" s="32"/>
      <c r="G22" s="32"/>
      <c r="H22" s="32"/>
      <c r="I22" s="32"/>
      <c r="J22" s="32"/>
      <c r="K22" s="32"/>
      <c r="L22" s="32"/>
      <c r="M22" s="32"/>
      <c r="N22" s="32"/>
    </row>
    <row r="23" spans="1:14" ht="15" customHeight="1">
      <c r="A23" s="118"/>
      <c r="B23" s="112"/>
      <c r="C23" s="111"/>
      <c r="D23" s="30"/>
      <c r="E23" s="31"/>
      <c r="F23" s="16"/>
      <c r="G23" s="16"/>
      <c r="H23" s="16"/>
      <c r="I23" s="16"/>
      <c r="J23" s="16"/>
      <c r="K23" s="16"/>
      <c r="L23" s="16"/>
      <c r="M23" s="16"/>
      <c r="N23" s="16"/>
    </row>
    <row r="24" spans="1:14" ht="15" customHeight="1">
      <c r="A24" s="64" t="s">
        <v>51</v>
      </c>
      <c r="B24" s="88" t="s">
        <v>52</v>
      </c>
      <c r="C24" s="111"/>
      <c r="D24" s="30"/>
      <c r="E24" s="31"/>
      <c r="F24" s="16"/>
      <c r="G24" s="16"/>
      <c r="H24" s="16"/>
      <c r="I24" s="16"/>
      <c r="J24" s="16"/>
      <c r="K24" s="16"/>
      <c r="L24" s="16"/>
      <c r="M24" s="16"/>
      <c r="N24" s="16"/>
    </row>
    <row r="25" spans="1:14" ht="15" customHeight="1">
      <c r="A25" s="118"/>
      <c r="B25" s="112"/>
      <c r="C25" s="111"/>
      <c r="D25" s="30"/>
      <c r="E25" s="31"/>
      <c r="F25" s="16"/>
      <c r="G25" s="16"/>
      <c r="H25" s="16"/>
      <c r="I25" s="16"/>
      <c r="J25" s="16"/>
      <c r="K25" s="16"/>
      <c r="L25" s="16"/>
      <c r="M25" s="16"/>
      <c r="N25" s="16"/>
    </row>
    <row r="26" spans="1:14" ht="13.5" customHeight="1">
      <c r="A26" s="64" t="s">
        <v>53</v>
      </c>
      <c r="B26" s="95" t="s">
        <v>54</v>
      </c>
      <c r="C26" s="111"/>
      <c r="D26" s="33"/>
      <c r="E26" s="63"/>
      <c r="F26" s="16"/>
      <c r="G26" s="16"/>
      <c r="H26" s="16"/>
      <c r="I26" s="16"/>
      <c r="J26" s="16"/>
      <c r="K26" s="16"/>
      <c r="L26" s="16"/>
      <c r="M26" s="16"/>
      <c r="N26" s="16"/>
    </row>
    <row r="27" spans="1:14" ht="15" customHeight="1">
      <c r="A27" s="34"/>
      <c r="B27" s="34"/>
      <c r="C27" s="35"/>
      <c r="D27" s="16"/>
      <c r="E27" s="16"/>
      <c r="F27" s="16"/>
      <c r="G27" s="16"/>
      <c r="H27" s="16"/>
      <c r="I27" s="16"/>
      <c r="J27" s="16"/>
      <c r="K27" s="16"/>
      <c r="L27" s="16"/>
      <c r="M27" s="16"/>
      <c r="N27" s="16"/>
    </row>
    <row r="28" spans="1:14" ht="15" customHeight="1">
      <c r="A28" s="16"/>
      <c r="B28" s="16"/>
      <c r="C28" s="36"/>
      <c r="D28" s="16"/>
      <c r="E28" s="16"/>
      <c r="F28" s="16"/>
      <c r="G28" s="16"/>
      <c r="H28" s="16"/>
      <c r="I28" s="16"/>
      <c r="J28" s="16"/>
      <c r="K28" s="16"/>
      <c r="L28" s="16"/>
      <c r="M28" s="16"/>
      <c r="N28" s="16"/>
    </row>
    <row r="29" spans="1:14" ht="15" customHeight="1">
      <c r="A29" s="16"/>
      <c r="B29" s="16"/>
      <c r="C29" s="36"/>
      <c r="D29" s="16"/>
      <c r="E29" s="16"/>
      <c r="F29" s="16"/>
      <c r="G29" s="16"/>
      <c r="H29" s="16"/>
      <c r="I29" s="16"/>
      <c r="J29" s="16"/>
      <c r="K29" s="16"/>
      <c r="L29" s="16"/>
      <c r="M29" s="16"/>
      <c r="N29" s="16"/>
    </row>
    <row r="30" spans="1:14" ht="15" customHeight="1">
      <c r="A30" s="16"/>
      <c r="B30" s="16"/>
      <c r="C30" s="36"/>
      <c r="D30" s="16"/>
      <c r="E30" s="16"/>
      <c r="F30" s="16"/>
      <c r="G30" s="16"/>
      <c r="H30" s="16"/>
      <c r="I30" s="16"/>
      <c r="J30" s="16"/>
      <c r="K30" s="16"/>
      <c r="L30" s="16"/>
      <c r="M30" s="16"/>
      <c r="N30" s="16"/>
    </row>
    <row r="31" spans="1:14" ht="15" customHeight="1">
      <c r="A31" s="16"/>
      <c r="B31" s="16"/>
      <c r="C31" s="36"/>
      <c r="D31" s="16"/>
      <c r="E31" s="16"/>
      <c r="F31" s="16"/>
      <c r="G31" s="16"/>
      <c r="H31" s="16"/>
      <c r="I31" s="16"/>
      <c r="J31" s="16"/>
      <c r="K31" s="16"/>
      <c r="L31" s="16"/>
      <c r="M31" s="16"/>
      <c r="N31" s="16"/>
    </row>
    <row r="32" spans="1:14" ht="15" customHeight="1">
      <c r="A32" s="16"/>
      <c r="B32" s="16"/>
      <c r="C32" s="36"/>
      <c r="D32" s="16"/>
      <c r="E32" s="16"/>
      <c r="F32" s="16"/>
      <c r="G32" s="16"/>
      <c r="H32" s="16"/>
      <c r="I32" s="16"/>
      <c r="J32" s="16"/>
      <c r="K32" s="16"/>
      <c r="L32" s="16"/>
      <c r="M32" s="16"/>
      <c r="N32" s="16"/>
    </row>
    <row r="33" spans="1:14" ht="15" customHeight="1">
      <c r="A33" s="16"/>
      <c r="B33" s="16"/>
      <c r="C33" s="36"/>
      <c r="D33" s="16"/>
      <c r="E33" s="16"/>
      <c r="F33" s="16"/>
      <c r="G33" s="16"/>
      <c r="H33" s="16"/>
      <c r="I33" s="16"/>
      <c r="J33" s="16"/>
      <c r="K33" s="16"/>
      <c r="L33" s="16"/>
      <c r="M33" s="16"/>
      <c r="N33" s="16"/>
    </row>
    <row r="34" spans="1:14" ht="15" customHeight="1">
      <c r="A34" s="16"/>
      <c r="B34" s="16"/>
      <c r="C34" s="36"/>
      <c r="D34" s="16"/>
      <c r="E34" s="16"/>
      <c r="F34" s="16"/>
      <c r="G34" s="16"/>
      <c r="H34" s="16"/>
      <c r="I34" s="16"/>
      <c r="J34" s="16"/>
      <c r="K34" s="16"/>
      <c r="L34" s="16"/>
      <c r="M34" s="16"/>
      <c r="N34" s="16"/>
    </row>
    <row r="35" spans="1:14" ht="15" customHeight="1">
      <c r="A35" s="16"/>
      <c r="B35" s="16"/>
      <c r="C35" s="36"/>
      <c r="D35" s="16"/>
      <c r="E35" s="16"/>
      <c r="F35" s="16"/>
      <c r="G35" s="16"/>
      <c r="H35" s="16"/>
      <c r="I35" s="16"/>
      <c r="J35" s="16"/>
      <c r="K35" s="16"/>
      <c r="L35" s="16"/>
      <c r="M35" s="16"/>
      <c r="N35" s="16"/>
    </row>
    <row r="36" spans="1:14" ht="15" customHeight="1">
      <c r="A36" s="16"/>
      <c r="B36" s="16"/>
      <c r="C36" s="36"/>
      <c r="D36" s="16"/>
      <c r="E36" s="16"/>
      <c r="F36" s="16"/>
      <c r="G36" s="16"/>
      <c r="H36" s="16"/>
      <c r="I36" s="16"/>
      <c r="J36" s="16"/>
      <c r="K36" s="16"/>
      <c r="L36" s="16"/>
      <c r="M36" s="16"/>
      <c r="N36" s="16"/>
    </row>
    <row r="37" spans="1:14" ht="15" customHeight="1">
      <c r="A37" s="16"/>
      <c r="B37" s="16"/>
      <c r="C37" s="36"/>
      <c r="D37" s="16"/>
      <c r="E37" s="16"/>
      <c r="F37" s="16"/>
      <c r="G37" s="16"/>
      <c r="H37" s="16"/>
      <c r="I37" s="16"/>
      <c r="J37" s="16"/>
      <c r="K37" s="16"/>
      <c r="L37" s="16"/>
      <c r="M37" s="16"/>
      <c r="N37" s="16"/>
    </row>
    <row r="38" spans="1:14" ht="15" customHeight="1">
      <c r="A38" s="16"/>
      <c r="B38" s="16"/>
      <c r="C38" s="36"/>
      <c r="D38" s="16"/>
      <c r="E38" s="16"/>
      <c r="F38" s="16"/>
      <c r="G38" s="16"/>
      <c r="H38" s="16"/>
      <c r="I38" s="16"/>
      <c r="J38" s="16"/>
      <c r="K38" s="16"/>
      <c r="L38" s="16"/>
      <c r="M38" s="16"/>
      <c r="N38" s="16"/>
    </row>
    <row r="39" spans="1:14" ht="15" customHeight="1">
      <c r="A39" s="16"/>
      <c r="B39" s="16"/>
      <c r="C39" s="36"/>
      <c r="D39" s="16"/>
      <c r="E39" s="16"/>
      <c r="F39" s="16"/>
      <c r="G39" s="16"/>
      <c r="H39" s="16"/>
      <c r="I39" s="16"/>
      <c r="J39" s="16"/>
      <c r="K39" s="16"/>
      <c r="L39" s="16"/>
      <c r="M39" s="16"/>
      <c r="N39" s="16"/>
    </row>
    <row r="40" spans="1:14" ht="15" customHeight="1">
      <c r="A40" s="16"/>
      <c r="B40" s="16"/>
      <c r="C40" s="36"/>
      <c r="D40" s="16"/>
      <c r="E40" s="16"/>
      <c r="F40" s="16"/>
      <c r="G40" s="16"/>
      <c r="H40" s="16"/>
      <c r="I40" s="16"/>
      <c r="J40" s="16"/>
      <c r="K40" s="16"/>
      <c r="L40" s="16"/>
      <c r="M40" s="16"/>
      <c r="N40" s="16"/>
    </row>
    <row r="41" spans="1:14" ht="15" customHeight="1">
      <c r="A41" s="16"/>
      <c r="B41" s="16"/>
      <c r="C41" s="36"/>
      <c r="D41" s="16"/>
      <c r="E41" s="16"/>
      <c r="F41" s="16"/>
      <c r="G41" s="16"/>
      <c r="H41" s="16"/>
      <c r="I41" s="16"/>
      <c r="J41" s="16"/>
      <c r="K41" s="16"/>
      <c r="L41" s="16"/>
      <c r="M41" s="16"/>
      <c r="N41" s="16"/>
    </row>
    <row r="42" spans="1:14" ht="15" customHeight="1">
      <c r="A42" s="16"/>
      <c r="B42" s="16"/>
      <c r="C42" s="36"/>
      <c r="D42" s="16"/>
      <c r="E42" s="16"/>
      <c r="F42" s="16"/>
      <c r="G42" s="16"/>
      <c r="H42" s="16"/>
      <c r="I42" s="16"/>
      <c r="J42" s="16"/>
      <c r="K42" s="16"/>
      <c r="L42" s="16"/>
      <c r="M42" s="16"/>
      <c r="N42" s="16"/>
    </row>
    <row r="43" spans="1:14" ht="15" customHeight="1">
      <c r="A43" s="16"/>
      <c r="B43" s="16"/>
      <c r="C43" s="36"/>
      <c r="D43" s="16"/>
      <c r="E43" s="16"/>
      <c r="F43" s="16"/>
      <c r="G43" s="16"/>
      <c r="H43" s="16"/>
      <c r="I43" s="16"/>
      <c r="J43" s="16"/>
      <c r="K43" s="16"/>
      <c r="L43" s="16"/>
      <c r="M43" s="16"/>
      <c r="N43" s="16"/>
    </row>
    <row r="44" spans="1:14" ht="15" customHeight="1">
      <c r="A44" s="16"/>
      <c r="B44" s="16"/>
      <c r="C44" s="36"/>
      <c r="D44" s="16"/>
      <c r="E44" s="16"/>
      <c r="F44" s="16"/>
      <c r="G44" s="16"/>
      <c r="H44" s="16"/>
      <c r="I44" s="16"/>
      <c r="J44" s="16"/>
      <c r="K44" s="16"/>
      <c r="L44" s="16"/>
      <c r="M44" s="16"/>
      <c r="N44" s="16"/>
    </row>
    <row r="45" spans="1:14" ht="15" customHeight="1">
      <c r="A45" s="16"/>
      <c r="B45" s="16"/>
      <c r="C45" s="36"/>
      <c r="D45" s="16"/>
      <c r="E45" s="16"/>
      <c r="F45" s="16"/>
      <c r="G45" s="16"/>
      <c r="H45" s="16"/>
      <c r="I45" s="16"/>
      <c r="J45" s="16"/>
      <c r="K45" s="16"/>
      <c r="L45" s="16"/>
      <c r="M45" s="16"/>
      <c r="N45" s="16"/>
    </row>
    <row r="46" spans="1:14" ht="15" customHeight="1">
      <c r="A46" s="16"/>
      <c r="B46" s="16"/>
      <c r="C46" s="36"/>
      <c r="D46" s="16"/>
      <c r="E46" s="16"/>
      <c r="F46" s="16"/>
      <c r="G46" s="16"/>
      <c r="H46" s="16"/>
      <c r="I46" s="16"/>
      <c r="J46" s="16"/>
      <c r="K46" s="16"/>
      <c r="L46" s="16"/>
      <c r="M46" s="16"/>
      <c r="N46" s="16"/>
    </row>
    <row r="47" spans="1:14" ht="15" customHeight="1">
      <c r="A47" s="16"/>
      <c r="B47" s="16"/>
      <c r="C47" s="36"/>
      <c r="D47" s="16"/>
      <c r="E47" s="16"/>
      <c r="F47" s="16"/>
      <c r="G47" s="16"/>
      <c r="H47" s="16"/>
      <c r="I47" s="16"/>
      <c r="J47" s="16"/>
      <c r="K47" s="16"/>
      <c r="L47" s="16"/>
      <c r="M47" s="16"/>
      <c r="N47" s="16"/>
    </row>
    <row r="48" spans="1:14" ht="15" customHeight="1">
      <c r="A48" s="16"/>
      <c r="B48" s="16"/>
      <c r="C48" s="36"/>
      <c r="D48" s="16"/>
      <c r="E48" s="16"/>
      <c r="F48" s="16"/>
      <c r="G48" s="16"/>
      <c r="H48" s="16"/>
      <c r="I48" s="16"/>
      <c r="J48" s="16"/>
      <c r="K48" s="16"/>
      <c r="L48" s="16"/>
      <c r="M48" s="16"/>
      <c r="N48" s="16"/>
    </row>
    <row r="49" spans="1:14" ht="15" customHeight="1">
      <c r="A49" s="16"/>
      <c r="B49" s="16"/>
      <c r="C49" s="36"/>
      <c r="D49" s="16"/>
      <c r="E49" s="16"/>
      <c r="F49" s="16"/>
      <c r="G49" s="16"/>
      <c r="H49" s="16"/>
      <c r="I49" s="16"/>
      <c r="J49" s="16"/>
      <c r="K49" s="16"/>
      <c r="L49" s="16"/>
      <c r="M49" s="16"/>
      <c r="N49" s="16"/>
    </row>
    <row r="50" spans="1:14" ht="15" customHeight="1">
      <c r="A50" s="16"/>
      <c r="B50" s="16"/>
      <c r="C50" s="36"/>
      <c r="D50" s="16"/>
      <c r="E50" s="16"/>
      <c r="F50" s="16"/>
      <c r="G50" s="16"/>
      <c r="H50" s="16"/>
      <c r="I50" s="16"/>
      <c r="J50" s="16"/>
      <c r="K50" s="16"/>
      <c r="L50" s="16"/>
      <c r="M50" s="16"/>
      <c r="N50" s="16"/>
    </row>
    <row r="51" spans="1:14" ht="15" customHeight="1">
      <c r="A51" s="16"/>
      <c r="B51" s="16"/>
      <c r="C51" s="36"/>
      <c r="D51" s="16"/>
      <c r="E51" s="16"/>
      <c r="F51" s="16"/>
      <c r="G51" s="16"/>
      <c r="H51" s="16"/>
      <c r="I51" s="16"/>
      <c r="J51" s="16"/>
      <c r="K51" s="16"/>
      <c r="L51" s="16"/>
      <c r="M51" s="16"/>
      <c r="N51" s="16"/>
    </row>
    <row r="52" spans="1:14" ht="15" customHeight="1">
      <c r="A52" s="16"/>
      <c r="B52" s="16"/>
      <c r="C52" s="36"/>
      <c r="D52" s="16"/>
      <c r="E52" s="16"/>
      <c r="F52" s="16"/>
      <c r="G52" s="16"/>
      <c r="H52" s="16"/>
      <c r="I52" s="16"/>
      <c r="J52" s="16"/>
      <c r="K52" s="16"/>
      <c r="L52" s="16"/>
      <c r="M52" s="16"/>
      <c r="N52" s="16"/>
    </row>
    <row r="53" spans="1:14" ht="15" customHeight="1">
      <c r="A53" s="16"/>
      <c r="B53" s="16"/>
      <c r="C53" s="36"/>
      <c r="D53" s="16"/>
      <c r="E53" s="16"/>
      <c r="F53" s="16"/>
      <c r="G53" s="16"/>
      <c r="H53" s="16"/>
      <c r="I53" s="16"/>
      <c r="J53" s="16"/>
      <c r="K53" s="16"/>
      <c r="L53" s="16"/>
      <c r="M53" s="16"/>
      <c r="N53" s="16"/>
    </row>
    <row r="54" spans="1:14" ht="15" customHeight="1">
      <c r="A54" s="16"/>
      <c r="B54" s="16"/>
      <c r="C54" s="36"/>
      <c r="D54" s="16"/>
      <c r="E54" s="16"/>
      <c r="F54" s="16"/>
      <c r="G54" s="16"/>
      <c r="H54" s="16"/>
      <c r="I54" s="16"/>
      <c r="J54" s="16"/>
      <c r="K54" s="16"/>
      <c r="L54" s="16"/>
      <c r="M54" s="16"/>
      <c r="N54" s="16"/>
    </row>
    <row r="55" spans="1:14" ht="15" customHeight="1">
      <c r="A55" s="16"/>
      <c r="B55" s="16"/>
      <c r="C55" s="36"/>
      <c r="D55" s="16"/>
      <c r="E55" s="16"/>
      <c r="F55" s="16"/>
      <c r="G55" s="16"/>
      <c r="H55" s="16"/>
      <c r="I55" s="16"/>
      <c r="J55" s="16"/>
      <c r="K55" s="16"/>
      <c r="L55" s="16"/>
      <c r="M55" s="16"/>
      <c r="N55" s="16"/>
    </row>
    <row r="56" spans="1:14" ht="15" customHeight="1">
      <c r="A56" s="16"/>
      <c r="B56" s="16"/>
      <c r="C56" s="36"/>
      <c r="D56" s="16"/>
      <c r="E56" s="16"/>
      <c r="F56" s="16"/>
      <c r="G56" s="16"/>
      <c r="H56" s="16"/>
      <c r="I56" s="16"/>
      <c r="J56" s="16"/>
      <c r="K56" s="16"/>
      <c r="L56" s="16"/>
      <c r="M56" s="16"/>
      <c r="N56" s="16"/>
    </row>
    <row r="57" spans="1:14" ht="15" customHeight="1">
      <c r="A57" s="16"/>
      <c r="B57" s="16"/>
      <c r="C57" s="36"/>
      <c r="D57" s="16"/>
      <c r="E57" s="16"/>
      <c r="F57" s="16"/>
      <c r="G57" s="16"/>
      <c r="H57" s="16"/>
      <c r="I57" s="16"/>
      <c r="J57" s="16"/>
      <c r="K57" s="16"/>
      <c r="L57" s="16"/>
      <c r="M57" s="16"/>
      <c r="N57" s="16"/>
    </row>
    <row r="58" spans="1:14" ht="15" customHeight="1">
      <c r="A58" s="16"/>
      <c r="B58" s="16"/>
      <c r="C58" s="36"/>
      <c r="D58" s="16"/>
      <c r="E58" s="16"/>
      <c r="F58" s="16"/>
      <c r="G58" s="16"/>
      <c r="H58" s="16"/>
      <c r="I58" s="16"/>
      <c r="J58" s="16"/>
      <c r="K58" s="16"/>
      <c r="L58" s="16"/>
      <c r="M58" s="16"/>
      <c r="N58" s="16"/>
    </row>
    <row r="59" spans="1:14" ht="15" customHeight="1">
      <c r="A59" s="16"/>
      <c r="B59" s="16"/>
      <c r="C59" s="36"/>
      <c r="D59" s="16"/>
      <c r="E59" s="16"/>
      <c r="F59" s="16"/>
      <c r="G59" s="16"/>
      <c r="H59" s="16"/>
      <c r="I59" s="16"/>
      <c r="J59" s="16"/>
      <c r="K59" s="16"/>
      <c r="L59" s="16"/>
      <c r="M59" s="16"/>
      <c r="N59" s="16"/>
    </row>
    <row r="60" spans="1:14" ht="15" customHeight="1">
      <c r="A60" s="16"/>
      <c r="B60" s="16"/>
      <c r="C60" s="36"/>
      <c r="D60" s="16"/>
      <c r="E60" s="16"/>
      <c r="F60" s="16"/>
      <c r="G60" s="16"/>
      <c r="H60" s="16"/>
      <c r="I60" s="16"/>
      <c r="J60" s="16"/>
      <c r="K60" s="16"/>
      <c r="L60" s="16"/>
      <c r="M60" s="16"/>
      <c r="N60" s="16"/>
    </row>
    <row r="61" spans="1:14" ht="15" customHeight="1">
      <c r="A61" s="16"/>
      <c r="B61" s="16"/>
      <c r="C61" s="36"/>
      <c r="D61" s="16"/>
      <c r="E61" s="16"/>
      <c r="F61" s="16"/>
      <c r="G61" s="16"/>
      <c r="H61" s="16"/>
      <c r="I61" s="16"/>
      <c r="J61" s="16"/>
      <c r="K61" s="16"/>
      <c r="L61" s="16"/>
      <c r="M61" s="16"/>
      <c r="N61" s="16"/>
    </row>
    <row r="62" spans="1:14" ht="15" customHeight="1">
      <c r="A62" s="16"/>
      <c r="B62" s="16"/>
      <c r="C62" s="36"/>
      <c r="D62" s="16"/>
      <c r="E62" s="16"/>
      <c r="F62" s="16"/>
      <c r="G62" s="16"/>
      <c r="H62" s="16"/>
      <c r="I62" s="16"/>
      <c r="J62" s="16"/>
      <c r="K62" s="16"/>
      <c r="L62" s="16"/>
      <c r="M62" s="16"/>
      <c r="N62" s="16"/>
    </row>
    <row r="63" spans="1:14" ht="15" customHeight="1">
      <c r="A63" s="16"/>
      <c r="B63" s="16"/>
      <c r="C63" s="36"/>
      <c r="D63" s="16"/>
      <c r="E63" s="16"/>
      <c r="F63" s="16"/>
      <c r="G63" s="16"/>
      <c r="H63" s="16"/>
      <c r="I63" s="16"/>
      <c r="J63" s="16"/>
      <c r="K63" s="16"/>
      <c r="L63" s="16"/>
      <c r="M63" s="16"/>
      <c r="N63" s="16"/>
    </row>
    <row r="64" spans="1:14" ht="15" customHeight="1">
      <c r="A64" s="16"/>
      <c r="B64" s="16"/>
      <c r="C64" s="36"/>
      <c r="D64" s="16"/>
      <c r="E64" s="16"/>
      <c r="F64" s="16"/>
      <c r="G64" s="16"/>
      <c r="H64" s="16"/>
      <c r="I64" s="16"/>
      <c r="J64" s="16"/>
      <c r="K64" s="16"/>
      <c r="L64" s="16"/>
      <c r="M64" s="16"/>
      <c r="N64" s="16"/>
    </row>
    <row r="65" spans="1:14" ht="15" customHeight="1">
      <c r="A65" s="16"/>
      <c r="B65" s="16"/>
      <c r="C65" s="36"/>
      <c r="D65" s="16"/>
      <c r="E65" s="16"/>
      <c r="F65" s="16"/>
      <c r="G65" s="16"/>
      <c r="H65" s="16"/>
      <c r="I65" s="16"/>
      <c r="J65" s="16"/>
      <c r="K65" s="16"/>
      <c r="L65" s="16"/>
      <c r="M65" s="16"/>
      <c r="N65" s="16"/>
    </row>
  </sheetData>
  <mergeCells count="11">
    <mergeCell ref="B26:C26"/>
    <mergeCell ref="A25:C25"/>
    <mergeCell ref="B24:C24"/>
    <mergeCell ref="A2:B2"/>
    <mergeCell ref="A23:C23"/>
    <mergeCell ref="A4:A10"/>
    <mergeCell ref="A12:A20"/>
    <mergeCell ref="C9:E9"/>
    <mergeCell ref="B22:C22"/>
    <mergeCell ref="A3:C3"/>
    <mergeCell ref="A21:C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 &amp;A</oddHeader>
    <oddFooter>&amp;C&amp;"Times New Roman,Normal"&amp;12 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MJ1048576"/>
  <sheetViews>
    <sheetView showGridLines="0" topLeftCell="A319" zoomScale="110" zoomScaleNormal="110" workbookViewId="0">
      <selection activeCell="B366" sqref="B366"/>
    </sheetView>
  </sheetViews>
  <sheetFormatPr defaultColWidth="2.5703125" defaultRowHeight="13.5" customHeight="1"/>
  <cols>
    <col min="1" max="1" width="2.5703125" style="50" customWidth="1"/>
    <col min="2" max="2" width="11.5703125" style="12" customWidth="1"/>
    <col min="3" max="28" width="2.5703125" style="12" customWidth="1"/>
    <col min="29" max="29" width="4.7109375" style="37" hidden="1" customWidth="1"/>
    <col min="30" max="1011" width="2.5703125" style="50" customWidth="1"/>
    <col min="1012" max="1023" width="11.5703125" style="50" customWidth="1"/>
    <col min="1025" max="16383" width="2.5703125" style="50" customWidth="1"/>
    <col min="16384" max="16384" width="11.5703125" style="50" customWidth="1"/>
  </cols>
  <sheetData>
    <row r="1" spans="2:29" ht="12.75" customHeight="1">
      <c r="B1" s="101" t="str">
        <f>CONCATENATE("Foi autorizado o saque de gratificação de representação referente ao QSGR ",INFO!C2,", de ",QSGR!$A$80," (Deslocamento para  ",INFO!C18,", com a finalidade de ",INFO!B22,", conforme informação contida no ",INFO!B26,INFO!D26,", aos seguintes militares nas condições abaixo:  ")</f>
        <v xml:space="preserve">Foi autorizado o saque de gratificação de representação referente ao QSGR 32, de  (Deslocamento para  GUAIRA - PR, com a finalidade de PARTICIPAR DA OPERAÇÃO HORUS., conforme informação contida no TESTE VERMELHO, aos seguintes militares nas condições abaixo:  </v>
      </c>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5"/>
    </row>
    <row r="2" spans="2:29" ht="12.75" customHeight="1">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2"/>
    </row>
    <row r="3" spans="2:29" ht="12.75" customHeight="1">
      <c r="B3" s="120"/>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2"/>
    </row>
    <row r="4" spans="2:29" ht="12.75" customHeight="1">
      <c r="B4" s="120"/>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2"/>
    </row>
    <row r="5" spans="2:29" ht="12.75" customHeight="1">
      <c r="B5" s="120"/>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2"/>
    </row>
    <row r="6" spans="2:29" ht="12.75" customHeight="1">
      <c r="B6" s="120"/>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row>
    <row r="7" spans="2:29" ht="13.5" customHeight="1">
      <c r="B7" s="123"/>
      <c r="C7" s="124"/>
      <c r="D7" s="124"/>
      <c r="E7" s="124"/>
      <c r="F7" s="124"/>
      <c r="G7" s="124"/>
      <c r="H7" s="124"/>
      <c r="I7" s="124"/>
      <c r="J7" s="124"/>
      <c r="K7" s="124"/>
      <c r="L7" s="124"/>
      <c r="M7" s="124"/>
      <c r="N7" s="124"/>
      <c r="O7" s="124"/>
      <c r="P7" s="124"/>
      <c r="Q7" s="124"/>
      <c r="R7" s="124"/>
      <c r="S7" s="124"/>
      <c r="T7" s="124"/>
      <c r="U7" s="124"/>
      <c r="V7" s="124"/>
      <c r="W7" s="124"/>
      <c r="X7" s="124"/>
      <c r="Y7" s="124"/>
      <c r="Z7" s="124"/>
      <c r="AA7" s="124"/>
      <c r="AB7" s="117"/>
    </row>
    <row r="8" spans="2:29" ht="15" customHeight="1">
      <c r="B8" s="98" t="s">
        <v>55</v>
      </c>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37">
        <v>1</v>
      </c>
    </row>
    <row r="9" spans="2:29" ht="13.5" customHeight="1">
      <c r="B9" s="99">
        <f>INDEX(QSGR!$B$16:$B$1570,AC8)</f>
        <v>0</v>
      </c>
      <c r="C9" s="121"/>
      <c r="D9" s="121"/>
      <c r="E9" s="97">
        <f>INDEX(QSGR!$D$16:$D$11170,AC8)</f>
        <v>0</v>
      </c>
      <c r="F9" s="121"/>
      <c r="G9" s="121"/>
      <c r="H9" s="121"/>
      <c r="I9" s="121"/>
      <c r="J9" s="121"/>
      <c r="K9" s="121"/>
      <c r="L9" s="121"/>
      <c r="M9" s="121"/>
      <c r="N9" s="121"/>
      <c r="O9" s="121"/>
      <c r="P9" s="121"/>
      <c r="Q9" s="121"/>
      <c r="R9" s="121"/>
      <c r="S9" s="121"/>
      <c r="T9" s="121"/>
      <c r="U9" s="121"/>
      <c r="V9" s="121"/>
      <c r="W9" s="121"/>
      <c r="X9" s="121"/>
      <c r="Y9" s="121"/>
      <c r="Z9" s="121"/>
      <c r="AA9" s="121"/>
      <c r="AB9" s="121"/>
    </row>
    <row r="10" spans="2:29" ht="15" customHeight="1">
      <c r="B10" s="96" t="str">
        <f>CONCATENATE("- Evento: ",INFO!$B$22)</f>
        <v>- Evento: PARTICIPAR DA OPERAÇÃO HORUS.</v>
      </c>
      <c r="C10" s="121"/>
      <c r="D10" s="121"/>
      <c r="E10" s="121"/>
      <c r="F10" s="121"/>
      <c r="G10" s="121"/>
      <c r="H10" s="121"/>
      <c r="I10" s="121"/>
      <c r="J10" s="121"/>
      <c r="K10" s="121"/>
      <c r="L10" s="121"/>
      <c r="M10" s="121"/>
      <c r="N10" s="121"/>
      <c r="O10" s="121"/>
      <c r="P10" s="121"/>
      <c r="Q10" s="121"/>
      <c r="R10" s="121"/>
      <c r="S10" s="121"/>
      <c r="T10" s="121"/>
      <c r="U10" s="121"/>
      <c r="V10" s="121"/>
      <c r="W10" s="121"/>
      <c r="X10" s="121"/>
      <c r="Y10" s="121"/>
      <c r="Z10" s="121"/>
      <c r="AA10" s="121"/>
      <c r="AB10" s="121"/>
    </row>
    <row r="11" spans="2:29" ht="13.5" customHeight="1">
      <c r="B11" s="98" t="str">
        <f>CONCATENATE("- Documento de Solicitação: ",INFO!$B$24)</f>
        <v>- Documento de Solicitação: TESTE AZUL</v>
      </c>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c r="AA11" s="121"/>
      <c r="AB11" s="121"/>
    </row>
    <row r="12" spans="2:29" ht="13.5" customHeight="1">
      <c r="B12" s="98" t="str">
        <f>CONCATENATE("- Local: ",INFO!$C$18)</f>
        <v>- Local: GUAIRA - PR</v>
      </c>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c r="AA12" s="121"/>
      <c r="AB12" s="121"/>
    </row>
    <row r="13" spans="2:29" ht="13.5" customHeight="1">
      <c r="B13" s="98" t="str">
        <f>CONCATENATE("- Periodo: ",INFO!$C$10," a ",INFO!$C$19)</f>
        <v xml:space="preserve">- Periodo: 22/7/2025  a 23/8/2025 </v>
      </c>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row>
    <row r="14" spans="2:29" ht="13.5" customHeight="1">
      <c r="B14" s="98" t="str">
        <f>CONCATENATE("- Nr Dias: ",INFO!$C$20)</f>
        <v>- Nr Dias: 33</v>
      </c>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c r="AA14" s="121"/>
      <c r="AB14" s="121"/>
    </row>
    <row r="15" spans="2:29" ht="15" customHeight="1">
      <c r="B15" s="98" t="e">
        <f>CONCATENATE("- Valor Estimado: R$ ",INDEX(QSGR!$J$16:$J$11170,AC8))</f>
        <v>#N/A</v>
      </c>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c r="AA15" s="121"/>
      <c r="AB15" s="121"/>
    </row>
    <row r="16" spans="2:29" ht="15" customHeight="1">
      <c r="B16" s="100"/>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21"/>
      <c r="AB16" s="121"/>
    </row>
    <row r="17" spans="2:29" ht="13.5" customHeight="1">
      <c r="B17" s="98" t="s">
        <v>55</v>
      </c>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1"/>
      <c r="AA17" s="121"/>
      <c r="AB17" s="121"/>
      <c r="AC17" s="37">
        <v>2</v>
      </c>
    </row>
    <row r="18" spans="2:29" ht="13.5" customHeight="1">
      <c r="B18" s="99">
        <f>INDEX(QSGR!$B$16:$B$1570,AC17)</f>
        <v>0</v>
      </c>
      <c r="C18" s="121"/>
      <c r="D18" s="121"/>
      <c r="E18" s="97">
        <f>INDEX(QSGR!$D$16:$D$11170,AC17)</f>
        <v>0</v>
      </c>
      <c r="F18" s="121"/>
      <c r="G18" s="121"/>
      <c r="H18" s="121"/>
      <c r="I18" s="121"/>
      <c r="J18" s="121"/>
      <c r="K18" s="121"/>
      <c r="L18" s="121"/>
      <c r="M18" s="121"/>
      <c r="N18" s="121"/>
      <c r="O18" s="121"/>
      <c r="P18" s="121"/>
      <c r="Q18" s="121"/>
      <c r="R18" s="121"/>
      <c r="S18" s="121"/>
      <c r="T18" s="121"/>
      <c r="U18" s="121"/>
      <c r="V18" s="121"/>
      <c r="W18" s="121"/>
      <c r="X18" s="121"/>
      <c r="Y18" s="121"/>
      <c r="Z18" s="121"/>
      <c r="AA18" s="121"/>
      <c r="AB18" s="121"/>
    </row>
    <row r="19" spans="2:29" ht="15" customHeight="1">
      <c r="B19" s="96" t="str">
        <f>CONCATENATE("- Evento: ",INFO!$B$22)</f>
        <v>- Evento: PARTICIPAR DA OPERAÇÃO HORUS.</v>
      </c>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row>
    <row r="20" spans="2:29" ht="13.5" customHeight="1">
      <c r="B20" s="98" t="str">
        <f>CONCATENATE("- Documento de Solicitação: ",INFO!$B$24)</f>
        <v>- Documento de Solicitação: TESTE AZUL</v>
      </c>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row>
    <row r="21" spans="2:29" ht="13.5" customHeight="1">
      <c r="B21" s="98" t="str">
        <f>CONCATENATE("- Local: ",INFO!$C$18)</f>
        <v>- Local: GUAIRA - PR</v>
      </c>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row>
    <row r="22" spans="2:29" ht="13.5" customHeight="1">
      <c r="B22" s="98" t="str">
        <f>CONCATENATE("- Periodo: ",INFO!$C$10," a ",INFO!$C$19)</f>
        <v xml:space="preserve">- Periodo: 22/7/2025  a 23/8/2025 </v>
      </c>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c r="AA22" s="121"/>
      <c r="AB22" s="121"/>
    </row>
    <row r="23" spans="2:29" ht="13.5" customHeight="1">
      <c r="B23" s="98" t="str">
        <f>CONCATENATE("- Nr Dias: ",INFO!$C$20)</f>
        <v>- Nr Dias: 33</v>
      </c>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row>
    <row r="24" spans="2:29" ht="13.5" customHeight="1">
      <c r="B24" s="98" t="e">
        <f>CONCATENATE("- Valor Estimado: R$ ",INDEX(QSGR!$J$16:$J$11170,AC17))</f>
        <v>#N/A</v>
      </c>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row>
    <row r="25" spans="2:29" ht="13.5" customHeight="1">
      <c r="B25" s="100"/>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row>
    <row r="26" spans="2:29" ht="13.5" customHeight="1">
      <c r="B26" s="98" t="s">
        <v>55</v>
      </c>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c r="AA26" s="121"/>
      <c r="AB26" s="121"/>
      <c r="AC26" s="37">
        <v>3</v>
      </c>
    </row>
    <row r="27" spans="2:29" ht="13.5" customHeight="1">
      <c r="B27" s="99">
        <f>INDEX(QSGR!$B$16:$B$1570,AC26)</f>
        <v>0</v>
      </c>
      <c r="C27" s="121"/>
      <c r="D27" s="121"/>
      <c r="E27" s="97">
        <f>INDEX(QSGR!$D$16:$D$11170,AC26)</f>
        <v>0</v>
      </c>
      <c r="F27" s="121"/>
      <c r="G27" s="121"/>
      <c r="H27" s="121"/>
      <c r="I27" s="121"/>
      <c r="J27" s="121"/>
      <c r="K27" s="121"/>
      <c r="L27" s="121"/>
      <c r="M27" s="121"/>
      <c r="N27" s="121"/>
      <c r="O27" s="121"/>
      <c r="P27" s="121"/>
      <c r="Q27" s="121"/>
      <c r="R27" s="121"/>
      <c r="S27" s="121"/>
      <c r="T27" s="121"/>
      <c r="U27" s="121"/>
      <c r="V27" s="121"/>
      <c r="W27" s="121"/>
      <c r="X27" s="121"/>
      <c r="Y27" s="121"/>
      <c r="Z27" s="121"/>
      <c r="AA27" s="121"/>
      <c r="AB27" s="121"/>
    </row>
    <row r="28" spans="2:29" ht="15" customHeight="1">
      <c r="B28" s="96" t="str">
        <f>CONCATENATE("- Evento: ",INFO!$B$22)</f>
        <v>- Evento: PARTICIPAR DA OPERAÇÃO HORUS.</v>
      </c>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c r="AA28" s="121"/>
      <c r="AB28" s="121"/>
    </row>
    <row r="29" spans="2:29" ht="13.5" customHeight="1">
      <c r="B29" s="98" t="str">
        <f>CONCATENATE("- Documento de Solicitação: ",INFO!$B$24)</f>
        <v>- Documento de Solicitação: TESTE AZUL</v>
      </c>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c r="AA29" s="121"/>
      <c r="AB29" s="121"/>
    </row>
    <row r="30" spans="2:29" ht="13.5" customHeight="1">
      <c r="B30" s="98" t="str">
        <f>CONCATENATE("- Local: ",INFO!$C$18)</f>
        <v>- Local: GUAIRA - PR</v>
      </c>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c r="AA30" s="121"/>
      <c r="AB30" s="121"/>
    </row>
    <row r="31" spans="2:29" ht="13.5" customHeight="1">
      <c r="B31" s="98" t="str">
        <f>CONCATENATE("- Periodo: ",INFO!$C$10," a ",INFO!$C$19)</f>
        <v xml:space="preserve">- Periodo: 22/7/2025  a 23/8/2025 </v>
      </c>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1"/>
      <c r="AB31" s="121"/>
    </row>
    <row r="32" spans="2:29" ht="13.5" customHeight="1">
      <c r="B32" s="98" t="str">
        <f>CONCATENATE("- Nr Dias: ",INFO!$C$20)</f>
        <v>- Nr Dias: 33</v>
      </c>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c r="AA32" s="121"/>
      <c r="AB32" s="121"/>
    </row>
    <row r="33" spans="2:29" ht="13.5" customHeight="1">
      <c r="B33" s="98" t="e">
        <f>CONCATENATE("- Valor Estimado: R$ ",INDEX(QSGR!$J$16:$J$11170,AC26))</f>
        <v>#N/A</v>
      </c>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c r="AA33" s="121"/>
      <c r="AB33" s="121"/>
    </row>
    <row r="34" spans="2:29" ht="13.5" customHeight="1">
      <c r="B34" s="100"/>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c r="AA34" s="121"/>
      <c r="AB34" s="121"/>
    </row>
    <row r="35" spans="2:29" ht="13.5" customHeight="1">
      <c r="B35" s="98" t="s">
        <v>55</v>
      </c>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c r="AA35" s="121"/>
      <c r="AB35" s="121"/>
      <c r="AC35" s="37">
        <v>4</v>
      </c>
    </row>
    <row r="36" spans="2:29" ht="13.5" customHeight="1">
      <c r="B36" s="99">
        <f>INDEX(QSGR!$B$16:$B$1570,AC35)</f>
        <v>0</v>
      </c>
      <c r="C36" s="121"/>
      <c r="D36" s="121"/>
      <c r="E36" s="97">
        <f>INDEX(QSGR!$D$16:$D$11170,AC35)</f>
        <v>0</v>
      </c>
      <c r="F36" s="121"/>
      <c r="G36" s="121"/>
      <c r="H36" s="121"/>
      <c r="I36" s="121"/>
      <c r="J36" s="121"/>
      <c r="K36" s="121"/>
      <c r="L36" s="121"/>
      <c r="M36" s="121"/>
      <c r="N36" s="121"/>
      <c r="O36" s="121"/>
      <c r="P36" s="121"/>
      <c r="Q36" s="121"/>
      <c r="R36" s="121"/>
      <c r="S36" s="121"/>
      <c r="T36" s="121"/>
      <c r="U36" s="121"/>
      <c r="V36" s="121"/>
      <c r="W36" s="121"/>
      <c r="X36" s="121"/>
      <c r="Y36" s="121"/>
      <c r="Z36" s="121"/>
      <c r="AA36" s="121"/>
      <c r="AB36" s="121"/>
    </row>
    <row r="37" spans="2:29" ht="15" customHeight="1">
      <c r="B37" s="96" t="str">
        <f>CONCATENATE("- Evento: ",INFO!$B$22)</f>
        <v>- Evento: PARTICIPAR DA OPERAÇÃO HORUS.</v>
      </c>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c r="AB37" s="121"/>
    </row>
    <row r="38" spans="2:29" ht="13.5" customHeight="1">
      <c r="B38" s="98" t="str">
        <f>CONCATENATE("- Documento de Solicitação: ",INFO!$B$24)</f>
        <v>- Documento de Solicitação: TESTE AZUL</v>
      </c>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row>
    <row r="39" spans="2:29" ht="13.5" customHeight="1">
      <c r="B39" s="98" t="str">
        <f>CONCATENATE("- Local: ",INFO!$C$18)</f>
        <v>- Local: GUAIRA - PR</v>
      </c>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row>
    <row r="40" spans="2:29" ht="13.5" customHeight="1">
      <c r="B40" s="98" t="str">
        <f>CONCATENATE("- Periodo: ",INFO!$C$10," a ",INFO!$C$19)</f>
        <v xml:space="preserve">- Periodo: 22/7/2025  a 23/8/2025 </v>
      </c>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1"/>
      <c r="AB40" s="121"/>
    </row>
    <row r="41" spans="2:29" ht="13.5" customHeight="1">
      <c r="B41" s="98" t="str">
        <f>CONCATENATE("- Nr Dias: ",INFO!$C$20)</f>
        <v>- Nr Dias: 33</v>
      </c>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row>
    <row r="42" spans="2:29" ht="13.5" customHeight="1">
      <c r="B42" s="98" t="e">
        <f>CONCATENATE("- Valor Estimado: R$ ",INDEX(QSGR!$J$16:$J$11170,AC35))</f>
        <v>#N/A</v>
      </c>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row>
    <row r="43" spans="2:29" ht="13.5" customHeight="1">
      <c r="B43" s="100"/>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row>
    <row r="44" spans="2:29" ht="13.5" customHeight="1">
      <c r="B44" s="98" t="s">
        <v>55</v>
      </c>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c r="AA44" s="121"/>
      <c r="AB44" s="121"/>
      <c r="AC44" s="37">
        <v>5</v>
      </c>
    </row>
    <row r="45" spans="2:29" ht="15" customHeight="1">
      <c r="B45" s="99">
        <f>INDEX(QSGR!$B$16:$B$1570,AC44)</f>
        <v>0</v>
      </c>
      <c r="C45" s="121"/>
      <c r="D45" s="121"/>
      <c r="E45" s="97">
        <f>INDEX(QSGR!$D$16:$D$11170,AC44)</f>
        <v>0</v>
      </c>
      <c r="F45" s="121"/>
      <c r="G45" s="121"/>
      <c r="H45" s="121"/>
      <c r="I45" s="121"/>
      <c r="J45" s="121"/>
      <c r="K45" s="121"/>
      <c r="L45" s="121"/>
      <c r="M45" s="121"/>
      <c r="N45" s="121"/>
      <c r="O45" s="121"/>
      <c r="P45" s="121"/>
      <c r="Q45" s="121"/>
      <c r="R45" s="121"/>
      <c r="S45" s="121"/>
      <c r="T45" s="121"/>
      <c r="U45" s="121"/>
      <c r="V45" s="121"/>
      <c r="W45" s="121"/>
      <c r="X45" s="121"/>
      <c r="Y45" s="121"/>
      <c r="Z45" s="121"/>
      <c r="AA45" s="121"/>
      <c r="AB45" s="121"/>
    </row>
    <row r="46" spans="2:29" ht="15" customHeight="1">
      <c r="B46" s="96" t="str">
        <f>CONCATENATE("- Evento: ",INFO!$B$22)</f>
        <v>- Evento: PARTICIPAR DA OPERAÇÃO HORUS.</v>
      </c>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row>
    <row r="47" spans="2:29" ht="13.5" customHeight="1">
      <c r="B47" s="98" t="str">
        <f>CONCATENATE("- Documento de Solicitação: ",INFO!$B$24)</f>
        <v>- Documento de Solicitação: TESTE AZUL</v>
      </c>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row>
    <row r="48" spans="2:29" ht="13.5" customHeight="1">
      <c r="B48" s="98" t="str">
        <f>CONCATENATE("- Local: ",INFO!$C$18)</f>
        <v>- Local: GUAIRA - PR</v>
      </c>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row>
    <row r="49" spans="2:29" ht="13.5" customHeight="1">
      <c r="B49" s="98" t="str">
        <f>CONCATENATE("- Periodo: ",INFO!$C$10," a ",INFO!$C$19)</f>
        <v xml:space="preserve">- Periodo: 22/7/2025  a 23/8/2025 </v>
      </c>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row>
    <row r="50" spans="2:29" ht="13.5" customHeight="1">
      <c r="B50" s="98" t="str">
        <f>CONCATENATE("- Nr Dias: ",INFO!$C$20)</f>
        <v>- Nr Dias: 33</v>
      </c>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row>
    <row r="51" spans="2:29" ht="13.5" customHeight="1">
      <c r="B51" s="98" t="e">
        <f>CONCATENATE("- Valor Estimado: R$ ",INDEX(QSGR!$J$16:$J$11170,AC44))</f>
        <v>#N/A</v>
      </c>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c r="AB51" s="121"/>
    </row>
    <row r="52" spans="2:29" ht="13.5" customHeight="1">
      <c r="B52" s="100"/>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c r="AA52" s="121"/>
      <c r="AB52" s="121"/>
    </row>
    <row r="53" spans="2:29" ht="13.5" customHeight="1">
      <c r="B53" s="98" t="s">
        <v>55</v>
      </c>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c r="AB53" s="121"/>
      <c r="AC53" s="37">
        <f>AC44+1</f>
        <v>6</v>
      </c>
    </row>
    <row r="54" spans="2:29" ht="13.5" customHeight="1">
      <c r="B54" s="99">
        <f>INDEX(QSGR!$B$16:$B$1570,AC53)</f>
        <v>0</v>
      </c>
      <c r="C54" s="121"/>
      <c r="D54" s="121"/>
      <c r="E54" s="97">
        <f>INDEX(QSGR!$D$16:$D$11170,AC53)</f>
        <v>0</v>
      </c>
      <c r="F54" s="121"/>
      <c r="G54" s="121"/>
      <c r="H54" s="121"/>
      <c r="I54" s="121"/>
      <c r="J54" s="121"/>
      <c r="K54" s="121"/>
      <c r="L54" s="121"/>
      <c r="M54" s="121"/>
      <c r="N54" s="121"/>
      <c r="O54" s="121"/>
      <c r="P54" s="121"/>
      <c r="Q54" s="121"/>
      <c r="R54" s="121"/>
      <c r="S54" s="121"/>
      <c r="T54" s="121"/>
      <c r="U54" s="121"/>
      <c r="V54" s="121"/>
      <c r="W54" s="121"/>
      <c r="X54" s="121"/>
      <c r="Y54" s="121"/>
      <c r="Z54" s="121"/>
      <c r="AA54" s="121"/>
      <c r="AB54" s="121"/>
    </row>
    <row r="55" spans="2:29" ht="15" customHeight="1">
      <c r="B55" s="96" t="str">
        <f>CONCATENATE("- Evento: ",INFO!$B$22)</f>
        <v>- Evento: PARTICIPAR DA OPERAÇÃO HORUS.</v>
      </c>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row>
    <row r="56" spans="2:29" ht="13.5" customHeight="1">
      <c r="B56" s="98" t="str">
        <f>CONCATENATE("- Documento de Solicitação: ",INFO!$B$24)</f>
        <v>- Documento de Solicitação: TESTE AZUL</v>
      </c>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row>
    <row r="57" spans="2:29" ht="13.5" customHeight="1">
      <c r="B57" s="98" t="str">
        <f>CONCATENATE("- Local: ",INFO!$C$18)</f>
        <v>- Local: GUAIRA - PR</v>
      </c>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row>
    <row r="58" spans="2:29" ht="13.5" customHeight="1">
      <c r="B58" s="98" t="str">
        <f>CONCATENATE("- Periodo: ",INFO!$C$10," a ",INFO!$C$19)</f>
        <v xml:space="preserve">- Periodo: 22/7/2025  a 23/8/2025 </v>
      </c>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row>
    <row r="59" spans="2:29" ht="13.5" customHeight="1">
      <c r="B59" s="98" t="str">
        <f>CONCATENATE("- Nr Dias: ",INFO!$C$20)</f>
        <v>- Nr Dias: 33</v>
      </c>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1"/>
      <c r="AB59" s="121"/>
    </row>
    <row r="60" spans="2:29" ht="13.5" customHeight="1">
      <c r="B60" s="98" t="e">
        <f>CONCATENATE("- Valor Estimado: R$ ",INDEX(QSGR!$J$16:$J$11170,AC53))</f>
        <v>#N/A</v>
      </c>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c r="AB60" s="121"/>
    </row>
    <row r="61" spans="2:29" ht="13.5" customHeight="1">
      <c r="B61" s="100"/>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c r="AA61" s="121"/>
      <c r="AB61" s="121"/>
    </row>
    <row r="62" spans="2:29" ht="13.5" customHeight="1">
      <c r="B62" s="98" t="s">
        <v>55</v>
      </c>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c r="AA62" s="121"/>
      <c r="AB62" s="121"/>
      <c r="AC62" s="37">
        <f>AC53+1</f>
        <v>7</v>
      </c>
    </row>
    <row r="63" spans="2:29" ht="13.5" customHeight="1">
      <c r="B63" s="99">
        <f>INDEX(QSGR!$B$16:$B$1570,AC62)</f>
        <v>0</v>
      </c>
      <c r="C63" s="121"/>
      <c r="D63" s="121"/>
      <c r="E63" s="97">
        <f>INDEX(QSGR!$D$16:$D$11170,AC62)</f>
        <v>0</v>
      </c>
      <c r="F63" s="121"/>
      <c r="G63" s="121"/>
      <c r="H63" s="121"/>
      <c r="I63" s="121"/>
      <c r="J63" s="121"/>
      <c r="K63" s="121"/>
      <c r="L63" s="121"/>
      <c r="M63" s="121"/>
      <c r="N63" s="121"/>
      <c r="O63" s="121"/>
      <c r="P63" s="121"/>
      <c r="Q63" s="121"/>
      <c r="R63" s="121"/>
      <c r="S63" s="121"/>
      <c r="T63" s="121"/>
      <c r="U63" s="121"/>
      <c r="V63" s="121"/>
      <c r="W63" s="121"/>
      <c r="X63" s="121"/>
      <c r="Y63" s="121"/>
      <c r="Z63" s="121"/>
      <c r="AA63" s="121"/>
      <c r="AB63" s="121"/>
    </row>
    <row r="64" spans="2:29" ht="13.5" customHeight="1">
      <c r="B64" s="96" t="str">
        <f>CONCATENATE("- Evento: ",INFO!$B$22)</f>
        <v>- Evento: PARTICIPAR DA OPERAÇÃO HORUS.</v>
      </c>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row>
    <row r="65" spans="2:29" ht="13.5" customHeight="1">
      <c r="B65" s="98" t="str">
        <f>CONCATENATE("- Documento de Solicitação: ",INFO!$B$24)</f>
        <v>- Documento de Solicitação: TESTE AZUL</v>
      </c>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c r="AA65" s="121"/>
      <c r="AB65" s="121"/>
    </row>
    <row r="66" spans="2:29" ht="13.5" customHeight="1">
      <c r="B66" s="98" t="str">
        <f>CONCATENATE("- Local: ",INFO!$C$18)</f>
        <v>- Local: GUAIRA - PR</v>
      </c>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c r="AA66" s="121"/>
      <c r="AB66" s="121"/>
    </row>
    <row r="67" spans="2:29" ht="13.5" customHeight="1">
      <c r="B67" s="98" t="str">
        <f>CONCATENATE("- Periodo: ",INFO!$C$10," a ",INFO!$C$19)</f>
        <v xml:space="preserve">- Periodo: 22/7/2025  a 23/8/2025 </v>
      </c>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c r="AA67" s="121"/>
      <c r="AB67" s="121"/>
    </row>
    <row r="68" spans="2:29" ht="13.5" customHeight="1">
      <c r="B68" s="98" t="str">
        <f>CONCATENATE("- Nr Dias: ",INFO!$C$20)</f>
        <v>- Nr Dias: 33</v>
      </c>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c r="AA68" s="121"/>
      <c r="AB68" s="121"/>
    </row>
    <row r="69" spans="2:29" ht="13.5" customHeight="1">
      <c r="B69" s="98" t="e">
        <f>CONCATENATE("- Valor Estimado: R$ ",INDEX(QSGR!$J$16:$J$11170,AC62))</f>
        <v>#N/A</v>
      </c>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c r="AA69" s="121"/>
      <c r="AB69" s="121"/>
    </row>
    <row r="70" spans="2:29" ht="13.5" customHeight="1">
      <c r="B70" s="100"/>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row>
    <row r="71" spans="2:29" ht="13.5" customHeight="1">
      <c r="B71" s="98" t="s">
        <v>55</v>
      </c>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c r="AA71" s="121"/>
      <c r="AB71" s="121"/>
      <c r="AC71" s="37">
        <f>AC62+1</f>
        <v>8</v>
      </c>
    </row>
    <row r="72" spans="2:29" ht="13.5" customHeight="1">
      <c r="B72" s="99">
        <f>INDEX(QSGR!$B$16:$B$1570,AC71)</f>
        <v>0</v>
      </c>
      <c r="C72" s="121"/>
      <c r="D72" s="121"/>
      <c r="E72" s="97">
        <f>INDEX(QSGR!$D$16:$D$11170,AC71)</f>
        <v>0</v>
      </c>
      <c r="F72" s="121"/>
      <c r="G72" s="121"/>
      <c r="H72" s="121"/>
      <c r="I72" s="121"/>
      <c r="J72" s="121"/>
      <c r="K72" s="121"/>
      <c r="L72" s="121"/>
      <c r="M72" s="121"/>
      <c r="N72" s="121"/>
      <c r="O72" s="121"/>
      <c r="P72" s="121"/>
      <c r="Q72" s="121"/>
      <c r="R72" s="121"/>
      <c r="S72" s="121"/>
      <c r="T72" s="121"/>
      <c r="U72" s="121"/>
      <c r="V72" s="121"/>
      <c r="W72" s="121"/>
      <c r="X72" s="121"/>
      <c r="Y72" s="121"/>
      <c r="Z72" s="121"/>
      <c r="AA72" s="121"/>
      <c r="AB72" s="121"/>
    </row>
    <row r="73" spans="2:29" ht="13.5" customHeight="1">
      <c r="B73" s="96" t="str">
        <f>CONCATENATE("- Evento: ",INFO!$B$22)</f>
        <v>- Evento: PARTICIPAR DA OPERAÇÃO HORUS.</v>
      </c>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c r="AA73" s="121"/>
      <c r="AB73" s="121"/>
    </row>
    <row r="74" spans="2:29" ht="13.5" customHeight="1">
      <c r="B74" s="98" t="str">
        <f>CONCATENATE("- Documento de Solicitação: ",INFO!$B$24)</f>
        <v>- Documento de Solicitação: TESTE AZUL</v>
      </c>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c r="AA74" s="121"/>
      <c r="AB74" s="121"/>
    </row>
    <row r="75" spans="2:29" ht="13.5" customHeight="1">
      <c r="B75" s="98" t="str">
        <f>CONCATENATE("- Local: ",INFO!$C$18)</f>
        <v>- Local: GUAIRA - PR</v>
      </c>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c r="AA75" s="121"/>
      <c r="AB75" s="121"/>
    </row>
    <row r="76" spans="2:29" ht="13.5" customHeight="1">
      <c r="B76" s="98" t="str">
        <f>CONCATENATE("- Periodo: ",INFO!$C$10," a ",INFO!$C$19)</f>
        <v xml:space="preserve">- Periodo: 22/7/2025  a 23/8/2025 </v>
      </c>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1"/>
    </row>
    <row r="77" spans="2:29" ht="13.5" customHeight="1">
      <c r="B77" s="98" t="str">
        <f>CONCATENATE("- Nr Dias: ",INFO!$C$20)</f>
        <v>- Nr Dias: 33</v>
      </c>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c r="AA77" s="121"/>
      <c r="AB77" s="121"/>
    </row>
    <row r="78" spans="2:29" ht="13.5" customHeight="1">
      <c r="B78" s="98" t="e">
        <f>CONCATENATE("- Valor Estimado: R$ ",INDEX(QSGR!$J$16:$J$11170,AC71))</f>
        <v>#N/A</v>
      </c>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c r="AA78" s="121"/>
      <c r="AB78" s="121"/>
    </row>
    <row r="79" spans="2:29" ht="13.5" customHeight="1">
      <c r="B79" s="100"/>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c r="AA79" s="121"/>
      <c r="AB79" s="121"/>
    </row>
    <row r="80" spans="2:29" ht="13.5" customHeight="1">
      <c r="B80" s="98" t="s">
        <v>55</v>
      </c>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c r="AB80" s="121"/>
      <c r="AC80" s="37">
        <f>AC71+1</f>
        <v>9</v>
      </c>
    </row>
    <row r="81" spans="2:29" ht="13.5" customHeight="1">
      <c r="B81" s="99">
        <f>INDEX(QSGR!$B$16:$B$1570,AC80)</f>
        <v>0</v>
      </c>
      <c r="C81" s="121"/>
      <c r="D81" s="121"/>
      <c r="E81" s="97">
        <f>INDEX(QSGR!$D$16:$D$11170,AC80)</f>
        <v>0</v>
      </c>
      <c r="F81" s="121"/>
      <c r="G81" s="121"/>
      <c r="H81" s="121"/>
      <c r="I81" s="121"/>
      <c r="J81" s="121"/>
      <c r="K81" s="121"/>
      <c r="L81" s="121"/>
      <c r="M81" s="121"/>
      <c r="N81" s="121"/>
      <c r="O81" s="121"/>
      <c r="P81" s="121"/>
      <c r="Q81" s="121"/>
      <c r="R81" s="121"/>
      <c r="S81" s="121"/>
      <c r="T81" s="121"/>
      <c r="U81" s="121"/>
      <c r="V81" s="121"/>
      <c r="W81" s="121"/>
      <c r="X81" s="121"/>
      <c r="Y81" s="121"/>
      <c r="Z81" s="121"/>
      <c r="AA81" s="121"/>
      <c r="AB81" s="121"/>
    </row>
    <row r="82" spans="2:29" ht="13.5" customHeight="1">
      <c r="B82" s="96" t="str">
        <f>CONCATENATE("- Evento: ",INFO!$B$22)</f>
        <v>- Evento: PARTICIPAR DA OPERAÇÃO HORUS.</v>
      </c>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row>
    <row r="83" spans="2:29" ht="13.5" customHeight="1">
      <c r="B83" s="98" t="str">
        <f>CONCATENATE("- Documento de Solicitação: ",INFO!$B$24)</f>
        <v>- Documento de Solicitação: TESTE AZUL</v>
      </c>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c r="AA83" s="121"/>
      <c r="AB83" s="121"/>
    </row>
    <row r="84" spans="2:29" ht="13.5" customHeight="1">
      <c r="B84" s="98" t="str">
        <f>CONCATENATE("- Local: ",INFO!$C$18)</f>
        <v>- Local: GUAIRA - PR</v>
      </c>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row>
    <row r="85" spans="2:29" ht="13.5" customHeight="1">
      <c r="B85" s="98" t="str">
        <f>CONCATENATE("- Periodo: ",INFO!$C$10," a ",INFO!$C$19)</f>
        <v xml:space="preserve">- Periodo: 22/7/2025  a 23/8/2025 </v>
      </c>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c r="AA85" s="121"/>
      <c r="AB85" s="121"/>
    </row>
    <row r="86" spans="2:29" ht="13.5" customHeight="1">
      <c r="B86" s="98" t="str">
        <f>CONCATENATE("- Nr Dias: ",INFO!$C$20)</f>
        <v>- Nr Dias: 33</v>
      </c>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c r="AA86" s="121"/>
      <c r="AB86" s="121"/>
    </row>
    <row r="87" spans="2:29" ht="13.5" customHeight="1">
      <c r="B87" s="98" t="e">
        <f>CONCATENATE("- Valor Estimado: R$ ",INDEX(QSGR!$J$16:$J$11170,AC80))</f>
        <v>#N/A</v>
      </c>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c r="AA87" s="121"/>
      <c r="AB87" s="121"/>
    </row>
    <row r="88" spans="2:29" ht="13.5" customHeight="1">
      <c r="B88" s="100"/>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c r="AA88" s="121"/>
      <c r="AB88" s="121"/>
    </row>
    <row r="89" spans="2:29" ht="13.5" customHeight="1">
      <c r="B89" s="98" t="s">
        <v>55</v>
      </c>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c r="AB89" s="121"/>
      <c r="AC89" s="37">
        <f>AC80+1</f>
        <v>10</v>
      </c>
    </row>
    <row r="90" spans="2:29" ht="13.5" customHeight="1">
      <c r="B90" s="99">
        <f>INDEX(QSGR!$B$16:$B$1570,AC89)</f>
        <v>0</v>
      </c>
      <c r="C90" s="121"/>
      <c r="D90" s="121"/>
      <c r="E90" s="97">
        <f>INDEX(QSGR!$D$16:$D$11170,AC89)</f>
        <v>0</v>
      </c>
      <c r="F90" s="121"/>
      <c r="G90" s="121"/>
      <c r="H90" s="121"/>
      <c r="I90" s="121"/>
      <c r="J90" s="121"/>
      <c r="K90" s="121"/>
      <c r="L90" s="121"/>
      <c r="M90" s="121"/>
      <c r="N90" s="121"/>
      <c r="O90" s="121"/>
      <c r="P90" s="121"/>
      <c r="Q90" s="121"/>
      <c r="R90" s="121"/>
      <c r="S90" s="121"/>
      <c r="T90" s="121"/>
      <c r="U90" s="121"/>
      <c r="V90" s="121"/>
      <c r="W90" s="121"/>
      <c r="X90" s="121"/>
      <c r="Y90" s="121"/>
      <c r="Z90" s="121"/>
      <c r="AA90" s="121"/>
      <c r="AB90" s="121"/>
    </row>
    <row r="91" spans="2:29" ht="13.5" customHeight="1">
      <c r="B91" s="96" t="str">
        <f>CONCATENATE("- Evento: ",INFO!$B$22)</f>
        <v>- Evento: PARTICIPAR DA OPERAÇÃO HORUS.</v>
      </c>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c r="AA91" s="121"/>
      <c r="AB91" s="121"/>
    </row>
    <row r="92" spans="2:29" ht="13.5" customHeight="1">
      <c r="B92" s="98" t="str">
        <f>CONCATENATE("- Documento de Solicitação: ",INFO!$B$24)</f>
        <v>- Documento de Solicitação: TESTE AZUL</v>
      </c>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row>
    <row r="93" spans="2:29" ht="13.5" customHeight="1">
      <c r="B93" s="98" t="str">
        <f>CONCATENATE("- Local: ",INFO!$C$18)</f>
        <v>- Local: GUAIRA - PR</v>
      </c>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c r="AA93" s="121"/>
      <c r="AB93" s="121"/>
    </row>
    <row r="94" spans="2:29" ht="13.5" customHeight="1">
      <c r="B94" s="98" t="str">
        <f>CONCATENATE("- Periodo: ",INFO!$C$10," a ",INFO!$C$19)</f>
        <v xml:space="preserve">- Periodo: 22/7/2025  a 23/8/2025 </v>
      </c>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c r="AA94" s="121"/>
      <c r="AB94" s="121"/>
    </row>
    <row r="95" spans="2:29" ht="13.5" customHeight="1">
      <c r="B95" s="98" t="str">
        <f>CONCATENATE("- Nr Dias: ",INFO!$C$20)</f>
        <v>- Nr Dias: 33</v>
      </c>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c r="AA95" s="121"/>
      <c r="AB95" s="121"/>
    </row>
    <row r="96" spans="2:29" ht="13.5" customHeight="1">
      <c r="B96" s="98" t="e">
        <f>CONCATENATE("- Valor Estimado: R$ ",INDEX(QSGR!$J$16:$J$11170,AC89))</f>
        <v>#N/A</v>
      </c>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c r="AA96" s="121"/>
      <c r="AB96" s="121"/>
    </row>
    <row r="97" spans="2:29" ht="13.5" customHeight="1">
      <c r="B97" s="100"/>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c r="AA97" s="121"/>
      <c r="AB97" s="121"/>
    </row>
    <row r="98" spans="2:29" ht="13.5" customHeight="1">
      <c r="B98" s="98" t="s">
        <v>55</v>
      </c>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c r="AA98" s="121"/>
      <c r="AB98" s="121"/>
      <c r="AC98" s="37">
        <f>AC89+1</f>
        <v>11</v>
      </c>
    </row>
    <row r="99" spans="2:29" ht="13.5" customHeight="1">
      <c r="B99" s="99">
        <f>INDEX(QSGR!$B$16:$B$1570,AC98)</f>
        <v>0</v>
      </c>
      <c r="C99" s="121"/>
      <c r="D99" s="121"/>
      <c r="E99" s="97">
        <f>INDEX(QSGR!$D$16:$D$11170,AC98)</f>
        <v>0</v>
      </c>
      <c r="F99" s="121"/>
      <c r="G99" s="121"/>
      <c r="H99" s="121"/>
      <c r="I99" s="121"/>
      <c r="J99" s="121"/>
      <c r="K99" s="121"/>
      <c r="L99" s="121"/>
      <c r="M99" s="121"/>
      <c r="N99" s="121"/>
      <c r="O99" s="121"/>
      <c r="P99" s="121"/>
      <c r="Q99" s="121"/>
      <c r="R99" s="121"/>
      <c r="S99" s="121"/>
      <c r="T99" s="121"/>
      <c r="U99" s="121"/>
      <c r="V99" s="121"/>
      <c r="W99" s="121"/>
      <c r="X99" s="121"/>
      <c r="Y99" s="121"/>
      <c r="Z99" s="121"/>
      <c r="AA99" s="121"/>
      <c r="AB99" s="121"/>
    </row>
    <row r="100" spans="2:29" ht="13.5" customHeight="1">
      <c r="B100" s="96" t="str">
        <f>CONCATENATE("- Evento: ",INFO!$B$22)</f>
        <v>- Evento: PARTICIPAR DA OPERAÇÃO HORUS.</v>
      </c>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c r="AA100" s="121"/>
      <c r="AB100" s="121"/>
    </row>
    <row r="101" spans="2:29" ht="13.5" customHeight="1">
      <c r="B101" s="98" t="str">
        <f>CONCATENATE("- Documento de Solicitação: ",INFO!$B$24)</f>
        <v>- Documento de Solicitação: TESTE AZUL</v>
      </c>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c r="AB101" s="121"/>
    </row>
    <row r="102" spans="2:29" ht="13.5" customHeight="1">
      <c r="B102" s="98" t="str">
        <f>CONCATENATE("- Local: ",INFO!$C$18)</f>
        <v>- Local: GUAIRA - PR</v>
      </c>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c r="AA102" s="121"/>
      <c r="AB102" s="121"/>
    </row>
    <row r="103" spans="2:29" ht="13.5" customHeight="1">
      <c r="B103" s="98" t="str">
        <f>CONCATENATE("- Periodo: ",INFO!$C$10," a ",INFO!$C$19)</f>
        <v xml:space="preserve">- Periodo: 22/7/2025  a 23/8/2025 </v>
      </c>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row>
    <row r="104" spans="2:29" ht="13.5" customHeight="1">
      <c r="B104" s="98" t="str">
        <f>CONCATENATE("- Nr Dias: ",INFO!$C$20)</f>
        <v>- Nr Dias: 33</v>
      </c>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row>
    <row r="105" spans="2:29" ht="13.5" customHeight="1">
      <c r="B105" s="98" t="e">
        <f>CONCATENATE("- Valor Estimado: R$ ",INDEX(QSGR!$J$16:$J$11170,AC98))</f>
        <v>#N/A</v>
      </c>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c r="AB105" s="121"/>
    </row>
    <row r="106" spans="2:29" ht="13.5" customHeight="1">
      <c r="B106" s="100"/>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1"/>
    </row>
    <row r="107" spans="2:29" ht="13.5" customHeight="1">
      <c r="B107" s="98" t="s">
        <v>55</v>
      </c>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37">
        <f>AC98+1</f>
        <v>12</v>
      </c>
    </row>
    <row r="108" spans="2:29" ht="13.5" customHeight="1">
      <c r="B108" s="99">
        <f>INDEX(QSGR!$B$16:$B$1570,AC107)</f>
        <v>0</v>
      </c>
      <c r="C108" s="121"/>
      <c r="D108" s="121"/>
      <c r="E108" s="97">
        <f>INDEX(QSGR!$D$16:$D$11170,AC107)</f>
        <v>0</v>
      </c>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row>
    <row r="109" spans="2:29" ht="13.5" customHeight="1">
      <c r="B109" s="96" t="str">
        <f>CONCATENATE("- Evento: ",INFO!$B$22)</f>
        <v>- Evento: PARTICIPAR DA OPERAÇÃO HORUS.</v>
      </c>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row>
    <row r="110" spans="2:29" ht="13.5" customHeight="1">
      <c r="B110" s="98" t="str">
        <f>CONCATENATE("- Documento de Solicitação: ",INFO!$B$24)</f>
        <v>- Documento de Solicitação: TESTE AZUL</v>
      </c>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row>
    <row r="111" spans="2:29" ht="13.5" customHeight="1">
      <c r="B111" s="98" t="str">
        <f>CONCATENATE("- Local: ",INFO!$C$18)</f>
        <v>- Local: GUAIRA - PR</v>
      </c>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row>
    <row r="112" spans="2:29" ht="13.5" customHeight="1">
      <c r="B112" s="98" t="str">
        <f>CONCATENATE("- Periodo: ",INFO!$C$10," a ",INFO!$C$19)</f>
        <v xml:space="preserve">- Periodo: 22/7/2025  a 23/8/2025 </v>
      </c>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row>
    <row r="113" spans="2:29" ht="13.5" customHeight="1">
      <c r="B113" s="98" t="str">
        <f>CONCATENATE("- Nr Dias: ",INFO!$C$20)</f>
        <v>- Nr Dias: 33</v>
      </c>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row>
    <row r="114" spans="2:29" ht="13.5" customHeight="1">
      <c r="B114" s="98" t="e">
        <f>CONCATENATE("- Valor Estimado: R$ ",INDEX(QSGR!$J$16:$J$11170,AC107))</f>
        <v>#N/A</v>
      </c>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row>
    <row r="115" spans="2:29" ht="13.5" customHeight="1">
      <c r="B115" s="100"/>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row>
    <row r="116" spans="2:29" ht="13.5" customHeight="1">
      <c r="B116" s="98" t="s">
        <v>55</v>
      </c>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37">
        <f>AC107+1</f>
        <v>13</v>
      </c>
    </row>
    <row r="117" spans="2:29" ht="13.5" customHeight="1">
      <c r="B117" s="99">
        <f>INDEX(QSGR!$B$16:$B$1570,AC116)</f>
        <v>0</v>
      </c>
      <c r="C117" s="121"/>
      <c r="D117" s="121"/>
      <c r="E117" s="97">
        <f>INDEX(QSGR!$D$16:$D$11170,AC116)</f>
        <v>0</v>
      </c>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row>
    <row r="118" spans="2:29" ht="13.5" customHeight="1">
      <c r="B118" s="96" t="str">
        <f>CONCATENATE("- Evento: ",INFO!$B$22)</f>
        <v>- Evento: PARTICIPAR DA OPERAÇÃO HORUS.</v>
      </c>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row>
    <row r="119" spans="2:29" ht="13.5" customHeight="1">
      <c r="B119" s="98" t="str">
        <f>CONCATENATE("- Documento de Solicitação: ",INFO!$B$24)</f>
        <v>- Documento de Solicitação: TESTE AZUL</v>
      </c>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row>
    <row r="120" spans="2:29" ht="13.5" customHeight="1">
      <c r="B120" s="98" t="str">
        <f>CONCATENATE("- Local: ",INFO!$C$18)</f>
        <v>- Local: GUAIRA - PR</v>
      </c>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row>
    <row r="121" spans="2:29" ht="13.5" customHeight="1">
      <c r="B121" s="98" t="str">
        <f>CONCATENATE("- Periodo: ",INFO!$C$10," a ",INFO!$C$19)</f>
        <v xml:space="preserve">- Periodo: 22/7/2025  a 23/8/2025 </v>
      </c>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row>
    <row r="122" spans="2:29" ht="13.5" customHeight="1">
      <c r="B122" s="98" t="str">
        <f>CONCATENATE("- Nr Dias: ",INFO!$C$20)</f>
        <v>- Nr Dias: 33</v>
      </c>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row>
    <row r="123" spans="2:29" ht="13.5" customHeight="1">
      <c r="B123" s="98" t="e">
        <f>CONCATENATE("- Valor Estimado: R$ ",INDEX(QSGR!$J$16:$J$11170,AC116))</f>
        <v>#N/A</v>
      </c>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row>
    <row r="124" spans="2:29" ht="13.5" customHeight="1">
      <c r="B124" s="100"/>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row>
    <row r="125" spans="2:29" ht="13.5" customHeight="1">
      <c r="B125" s="98" t="s">
        <v>55</v>
      </c>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37">
        <f>AC116+1</f>
        <v>14</v>
      </c>
    </row>
    <row r="126" spans="2:29" ht="13.5" customHeight="1">
      <c r="B126" s="99">
        <f>INDEX(QSGR!$B$16:$B$1570,AC125)</f>
        <v>0</v>
      </c>
      <c r="C126" s="121"/>
      <c r="D126" s="121"/>
      <c r="E126" s="97">
        <f>INDEX(QSGR!$D$16:$D$11170,AC125)</f>
        <v>0</v>
      </c>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row>
    <row r="127" spans="2:29" ht="15" customHeight="1">
      <c r="B127" s="96" t="str">
        <f>CONCATENATE("- Evento: ",INFO!$B$22)</f>
        <v>- Evento: PARTICIPAR DA OPERAÇÃO HORUS.</v>
      </c>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row>
    <row r="128" spans="2:29" ht="13.5" customHeight="1">
      <c r="B128" s="98" t="str">
        <f>CONCATENATE("- Documento de Solicitação: ",INFO!$B$24)</f>
        <v>- Documento de Solicitação: TESTE AZUL</v>
      </c>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row>
    <row r="129" spans="2:29" ht="13.5" customHeight="1">
      <c r="B129" s="98" t="str">
        <f>CONCATENATE("- Local: ",INFO!$C$18)</f>
        <v>- Local: GUAIRA - PR</v>
      </c>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row>
    <row r="130" spans="2:29" ht="13.5" customHeight="1">
      <c r="B130" s="98" t="str">
        <f>CONCATENATE("- Periodo: ",INFO!$C$10," a ",INFO!$C$19)</f>
        <v xml:space="preserve">- Periodo: 22/7/2025  a 23/8/2025 </v>
      </c>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row>
    <row r="131" spans="2:29" ht="13.5" customHeight="1">
      <c r="B131" s="98" t="str">
        <f>CONCATENATE("- Nr Dias: ",INFO!$C$20)</f>
        <v>- Nr Dias: 33</v>
      </c>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row>
    <row r="132" spans="2:29" ht="13.5" customHeight="1">
      <c r="B132" s="98" t="e">
        <f>CONCATENATE("- Valor Estimado: R$ ",INDEX(QSGR!$J$16:$J$11170,AC125))</f>
        <v>#N/A</v>
      </c>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row>
    <row r="133" spans="2:29" ht="13.5" customHeight="1">
      <c r="B133" s="100"/>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row>
    <row r="134" spans="2:29" ht="13.5" customHeight="1">
      <c r="B134" s="98" t="s">
        <v>55</v>
      </c>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37">
        <f>AC125+1</f>
        <v>15</v>
      </c>
    </row>
    <row r="135" spans="2:29" ht="13.5" customHeight="1">
      <c r="B135" s="99">
        <f>INDEX(QSGR!$B$16:$B$1570,AC134)</f>
        <v>0</v>
      </c>
      <c r="C135" s="121"/>
      <c r="D135" s="121"/>
      <c r="E135" s="97">
        <f>INDEX(QSGR!$D$16:$D$11170,AC134)</f>
        <v>0</v>
      </c>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row>
    <row r="136" spans="2:29" ht="13.5" customHeight="1">
      <c r="B136" s="96" t="str">
        <f>CONCATENATE("- Evento: ",INFO!$B$22)</f>
        <v>- Evento: PARTICIPAR DA OPERAÇÃO HORUS.</v>
      </c>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row>
    <row r="137" spans="2:29" ht="13.5" customHeight="1">
      <c r="B137" s="98" t="str">
        <f>CONCATENATE("- Documento de Solicitação: ",INFO!$B$24)</f>
        <v>- Documento de Solicitação: TESTE AZUL</v>
      </c>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c r="AA137" s="121"/>
      <c r="AB137" s="121"/>
    </row>
    <row r="138" spans="2:29" ht="13.5" customHeight="1">
      <c r="B138" s="98" t="str">
        <f>CONCATENATE("- Local: ",INFO!$C$18)</f>
        <v>- Local: GUAIRA - PR</v>
      </c>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row>
    <row r="139" spans="2:29" ht="13.5" customHeight="1">
      <c r="B139" s="98" t="str">
        <f>CONCATENATE("- Periodo: ",INFO!$C$10," a ",INFO!$C$19)</f>
        <v xml:space="preserve">- Periodo: 22/7/2025  a 23/8/2025 </v>
      </c>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c r="AA139" s="121"/>
      <c r="AB139" s="121"/>
    </row>
    <row r="140" spans="2:29" ht="13.5" customHeight="1">
      <c r="B140" s="98" t="str">
        <f>CONCATENATE("- Nr Dias: ",INFO!$C$20)</f>
        <v>- Nr Dias: 33</v>
      </c>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c r="AA140" s="121"/>
      <c r="AB140" s="121"/>
    </row>
    <row r="141" spans="2:29" ht="13.5" customHeight="1">
      <c r="B141" s="98" t="e">
        <f>CONCATENATE("- Valor Estimado: R$ ",INDEX(QSGR!$J$16:$J$11170,AC134))</f>
        <v>#N/A</v>
      </c>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row>
    <row r="142" spans="2:29" ht="13.5" customHeight="1">
      <c r="B142" s="100"/>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c r="AA142" s="121"/>
      <c r="AB142" s="121"/>
    </row>
    <row r="143" spans="2:29" ht="13.5" customHeight="1">
      <c r="B143" s="98" t="s">
        <v>55</v>
      </c>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c r="AA143" s="121"/>
      <c r="AB143" s="121"/>
      <c r="AC143" s="37">
        <f>AC134+1</f>
        <v>16</v>
      </c>
    </row>
    <row r="144" spans="2:29" ht="13.5" customHeight="1">
      <c r="B144" s="99">
        <f>INDEX(QSGR!$B$16:$B$1570,AC143)</f>
        <v>0</v>
      </c>
      <c r="C144" s="121"/>
      <c r="D144" s="121"/>
      <c r="E144" s="97">
        <f>INDEX(QSGR!$D$16:$D$11170,AC143)</f>
        <v>0</v>
      </c>
      <c r="F144" s="121"/>
      <c r="G144" s="121"/>
      <c r="H144" s="121"/>
      <c r="I144" s="121"/>
      <c r="J144" s="121"/>
      <c r="K144" s="121"/>
      <c r="L144" s="121"/>
      <c r="M144" s="121"/>
      <c r="N144" s="121"/>
      <c r="O144" s="121"/>
      <c r="P144" s="121"/>
      <c r="Q144" s="121"/>
      <c r="R144" s="121"/>
      <c r="S144" s="121"/>
      <c r="T144" s="121"/>
      <c r="U144" s="121"/>
      <c r="V144" s="121"/>
      <c r="W144" s="121"/>
      <c r="X144" s="121"/>
      <c r="Y144" s="121"/>
      <c r="Z144" s="121"/>
      <c r="AA144" s="121"/>
      <c r="AB144" s="121"/>
    </row>
    <row r="145" spans="2:29" ht="13.5" customHeight="1">
      <c r="B145" s="96" t="str">
        <f>CONCATENATE("- Evento: ",INFO!$B$22)</f>
        <v>- Evento: PARTICIPAR DA OPERAÇÃO HORUS.</v>
      </c>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c r="AA145" s="121"/>
      <c r="AB145" s="121"/>
    </row>
    <row r="146" spans="2:29" ht="13.5" customHeight="1">
      <c r="B146" s="98" t="str">
        <f>CONCATENATE("- Documento de Solicitação: ",INFO!$B$24)</f>
        <v>- Documento de Solicitação: TESTE AZUL</v>
      </c>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c r="AA146" s="121"/>
      <c r="AB146" s="121"/>
    </row>
    <row r="147" spans="2:29" ht="13.5" customHeight="1">
      <c r="B147" s="98" t="str">
        <f>CONCATENATE("- Local: ",INFO!$C$18)</f>
        <v>- Local: GUAIRA - PR</v>
      </c>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c r="AA147" s="121"/>
      <c r="AB147" s="121"/>
    </row>
    <row r="148" spans="2:29" ht="13.5" customHeight="1">
      <c r="B148" s="98" t="str">
        <f>CONCATENATE("- Periodo: ",INFO!$C$10," a ",INFO!$C$19)</f>
        <v xml:space="preserve">- Periodo: 22/7/2025  a 23/8/2025 </v>
      </c>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row>
    <row r="149" spans="2:29" ht="13.5" customHeight="1">
      <c r="B149" s="98" t="str">
        <f>CONCATENATE("- Nr Dias: ",INFO!$C$20)</f>
        <v>- Nr Dias: 33</v>
      </c>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c r="AA149" s="121"/>
      <c r="AB149" s="121"/>
    </row>
    <row r="150" spans="2:29" ht="13.5" customHeight="1">
      <c r="B150" s="98" t="e">
        <f>CONCATENATE("- Valor Estimado: R$ ",INDEX(QSGR!$J$16:$J$11170,AC143))</f>
        <v>#N/A</v>
      </c>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c r="AA150" s="121"/>
      <c r="AB150" s="121"/>
    </row>
    <row r="151" spans="2:29" ht="13.5" customHeight="1">
      <c r="B151" s="100"/>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c r="AA151" s="121"/>
      <c r="AB151" s="121"/>
    </row>
    <row r="152" spans="2:29" ht="13.5" customHeight="1">
      <c r="B152" s="98" t="s">
        <v>55</v>
      </c>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37">
        <f>AC143+1</f>
        <v>17</v>
      </c>
    </row>
    <row r="153" spans="2:29" ht="13.5" customHeight="1">
      <c r="B153" s="99">
        <f>INDEX(QSGR!$B$16:$B$1570,AC152)</f>
        <v>0</v>
      </c>
      <c r="C153" s="121"/>
      <c r="D153" s="121"/>
      <c r="E153" s="97">
        <f>INDEX(QSGR!$D$16:$D$11170,AC152)</f>
        <v>0</v>
      </c>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row>
    <row r="154" spans="2:29" ht="13.5" customHeight="1">
      <c r="B154" s="96" t="str">
        <f>CONCATENATE("- Evento: ",INFO!$B$22)</f>
        <v>- Evento: PARTICIPAR DA OPERAÇÃO HORUS.</v>
      </c>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c r="AA154" s="121"/>
      <c r="AB154" s="121"/>
    </row>
    <row r="155" spans="2:29" ht="13.5" customHeight="1">
      <c r="B155" s="98" t="str">
        <f>CONCATENATE("- Documento de Solicitação: ",INFO!$B$24)</f>
        <v>- Documento de Solicitação: TESTE AZUL</v>
      </c>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c r="AB155" s="121"/>
    </row>
    <row r="156" spans="2:29" ht="13.5" customHeight="1">
      <c r="B156" s="98" t="str">
        <f>CONCATENATE("- Local: ",INFO!$C$18)</f>
        <v>- Local: GUAIRA - PR</v>
      </c>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c r="AA156" s="121"/>
      <c r="AB156" s="121"/>
    </row>
    <row r="157" spans="2:29" ht="13.5" customHeight="1">
      <c r="B157" s="98" t="str">
        <f>CONCATENATE("- Periodo: ",INFO!$C$10," a ",INFO!$C$19)</f>
        <v xml:space="preserve">- Periodo: 22/7/2025  a 23/8/2025 </v>
      </c>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c r="AA157" s="121"/>
      <c r="AB157" s="121"/>
    </row>
    <row r="158" spans="2:29" ht="13.5" customHeight="1">
      <c r="B158" s="98" t="str">
        <f>CONCATENATE("- Nr Dias: ",INFO!$C$20)</f>
        <v>- Nr Dias: 33</v>
      </c>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c r="AA158" s="121"/>
      <c r="AB158" s="121"/>
    </row>
    <row r="159" spans="2:29" ht="13.5" customHeight="1">
      <c r="B159" s="98" t="e">
        <f>CONCATENATE("- Valor Estimado: R$ ",INDEX(QSGR!$J$16:$J$11170,AC152))</f>
        <v>#N/A</v>
      </c>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c r="AB159" s="121"/>
    </row>
    <row r="160" spans="2:29" ht="13.5" customHeight="1">
      <c r="B160" s="100"/>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c r="AA160" s="121"/>
      <c r="AB160" s="121"/>
    </row>
    <row r="161" spans="2:29" ht="13.5" customHeight="1">
      <c r="B161" s="98" t="s">
        <v>55</v>
      </c>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c r="AA161" s="121"/>
      <c r="AB161" s="121"/>
      <c r="AC161" s="37">
        <f>AC152+1</f>
        <v>18</v>
      </c>
    </row>
    <row r="162" spans="2:29" ht="13.5" customHeight="1">
      <c r="B162" s="99">
        <f>INDEX(QSGR!$B$16:$B$1570,AC161)</f>
        <v>0</v>
      </c>
      <c r="C162" s="121"/>
      <c r="D162" s="121"/>
      <c r="E162" s="97">
        <f>INDEX(QSGR!$D$16:$D$11170,AC161)</f>
        <v>0</v>
      </c>
      <c r="F162" s="121"/>
      <c r="G162" s="121"/>
      <c r="H162" s="121"/>
      <c r="I162" s="121"/>
      <c r="J162" s="121"/>
      <c r="K162" s="121"/>
      <c r="L162" s="121"/>
      <c r="M162" s="121"/>
      <c r="N162" s="121"/>
      <c r="O162" s="121"/>
      <c r="P162" s="121"/>
      <c r="Q162" s="121"/>
      <c r="R162" s="121"/>
      <c r="S162" s="121"/>
      <c r="T162" s="121"/>
      <c r="U162" s="121"/>
      <c r="V162" s="121"/>
      <c r="W162" s="121"/>
      <c r="X162" s="121"/>
      <c r="Y162" s="121"/>
      <c r="Z162" s="121"/>
      <c r="AA162" s="121"/>
      <c r="AB162" s="121"/>
    </row>
    <row r="163" spans="2:29" ht="13.5" customHeight="1">
      <c r="B163" s="96" t="str">
        <f>CONCATENATE("- Evento: ",INFO!$B$22)</f>
        <v>- Evento: PARTICIPAR DA OPERAÇÃO HORUS.</v>
      </c>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c r="AA163" s="121"/>
      <c r="AB163" s="121"/>
    </row>
    <row r="164" spans="2:29" ht="13.5" customHeight="1">
      <c r="B164" s="98" t="str">
        <f>CONCATENATE("- Documento de Solicitação: ",INFO!$B$24)</f>
        <v>- Documento de Solicitação: TESTE AZUL</v>
      </c>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c r="AA164" s="121"/>
      <c r="AB164" s="121"/>
    </row>
    <row r="165" spans="2:29" ht="13.5" customHeight="1">
      <c r="B165" s="98" t="str">
        <f>CONCATENATE("- Local: ",INFO!$C$18)</f>
        <v>- Local: GUAIRA - PR</v>
      </c>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c r="AA165" s="121"/>
      <c r="AB165" s="121"/>
    </row>
    <row r="166" spans="2:29" ht="13.5" customHeight="1">
      <c r="B166" s="98" t="str">
        <f>CONCATENATE("- Periodo: ",INFO!$C$10," a ",INFO!$C$19)</f>
        <v xml:space="preserve">- Periodo: 22/7/2025  a 23/8/2025 </v>
      </c>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c r="AA166" s="121"/>
      <c r="AB166" s="121"/>
    </row>
    <row r="167" spans="2:29" ht="13.5" customHeight="1">
      <c r="B167" s="98" t="str">
        <f>CONCATENATE("- Nr Dias: ",INFO!$C$20)</f>
        <v>- Nr Dias: 33</v>
      </c>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c r="AA167" s="121"/>
      <c r="AB167" s="121"/>
    </row>
    <row r="168" spans="2:29" ht="13.5" customHeight="1">
      <c r="B168" s="98" t="e">
        <f>CONCATENATE("- Valor Estimado: R$ ",INDEX(QSGR!$J$16:$J$11170,AC161))</f>
        <v>#N/A</v>
      </c>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c r="AA168" s="121"/>
      <c r="AB168" s="121"/>
    </row>
    <row r="169" spans="2:29" ht="13.5" customHeight="1">
      <c r="B169" s="100"/>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c r="AA169" s="121"/>
      <c r="AB169" s="121"/>
    </row>
    <row r="170" spans="2:29" ht="13.5" customHeight="1">
      <c r="B170" s="98" t="s">
        <v>55</v>
      </c>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c r="AA170" s="121"/>
      <c r="AB170" s="121"/>
      <c r="AC170" s="37">
        <f>AC161+1</f>
        <v>19</v>
      </c>
    </row>
    <row r="171" spans="2:29" ht="13.5" customHeight="1">
      <c r="B171" s="99">
        <f>INDEX(QSGR!$B$16:$B$1570,AC170)</f>
        <v>0</v>
      </c>
      <c r="C171" s="121"/>
      <c r="D171" s="121"/>
      <c r="E171" s="97">
        <f>INDEX(QSGR!$D$16:$D$11170,AC170)</f>
        <v>0</v>
      </c>
      <c r="F171" s="121"/>
      <c r="G171" s="121"/>
      <c r="H171" s="121"/>
      <c r="I171" s="121"/>
      <c r="J171" s="121"/>
      <c r="K171" s="121"/>
      <c r="L171" s="121"/>
      <c r="M171" s="121"/>
      <c r="N171" s="121"/>
      <c r="O171" s="121"/>
      <c r="P171" s="121"/>
      <c r="Q171" s="121"/>
      <c r="R171" s="121"/>
      <c r="S171" s="121"/>
      <c r="T171" s="121"/>
      <c r="U171" s="121"/>
      <c r="V171" s="121"/>
      <c r="W171" s="121"/>
      <c r="X171" s="121"/>
      <c r="Y171" s="121"/>
      <c r="Z171" s="121"/>
      <c r="AA171" s="121"/>
      <c r="AB171" s="121"/>
    </row>
    <row r="172" spans="2:29" ht="13.5" customHeight="1">
      <c r="B172" s="96" t="str">
        <f>CONCATENATE("- Evento: ",INFO!$B$22)</f>
        <v>- Evento: PARTICIPAR DA OPERAÇÃO HORUS.</v>
      </c>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c r="AA172" s="121"/>
      <c r="AB172" s="121"/>
    </row>
    <row r="173" spans="2:29" ht="13.5" customHeight="1">
      <c r="B173" s="98" t="str">
        <f>CONCATENATE("- Documento de Solicitação: ",INFO!$B$24)</f>
        <v>- Documento de Solicitação: TESTE AZUL</v>
      </c>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c r="AA173" s="121"/>
      <c r="AB173" s="121"/>
    </row>
    <row r="174" spans="2:29" ht="13.5" customHeight="1">
      <c r="B174" s="98" t="str">
        <f>CONCATENATE("- Local: ",INFO!$C$18)</f>
        <v>- Local: GUAIRA - PR</v>
      </c>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c r="AA174" s="121"/>
      <c r="AB174" s="121"/>
    </row>
    <row r="175" spans="2:29" ht="13.5" customHeight="1">
      <c r="B175" s="98" t="str">
        <f>CONCATENATE("- Periodo: ",INFO!$C$10," a ",INFO!$C$19)</f>
        <v xml:space="preserve">- Periodo: 22/7/2025  a 23/8/2025 </v>
      </c>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c r="AA175" s="121"/>
      <c r="AB175" s="121"/>
    </row>
    <row r="176" spans="2:29" ht="13.5" customHeight="1">
      <c r="B176" s="98" t="str">
        <f>CONCATENATE("- Nr Dias: ",INFO!$C$20)</f>
        <v>- Nr Dias: 33</v>
      </c>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c r="AA176" s="121"/>
      <c r="AB176" s="121"/>
    </row>
    <row r="177" spans="2:29" ht="13.5" customHeight="1">
      <c r="B177" s="98" t="e">
        <f>CONCATENATE("- Valor Estimado: R$ ",INDEX(QSGR!$J$16:$J$11170,AC170))</f>
        <v>#N/A</v>
      </c>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c r="AA177" s="121"/>
      <c r="AB177" s="121"/>
    </row>
    <row r="178" spans="2:29" ht="13.5" customHeight="1">
      <c r="B178" s="100"/>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c r="AA178" s="121"/>
      <c r="AB178" s="121"/>
    </row>
    <row r="179" spans="2:29" ht="13.5" customHeight="1">
      <c r="B179" s="98" t="s">
        <v>55</v>
      </c>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c r="AA179" s="121"/>
      <c r="AB179" s="121"/>
      <c r="AC179" s="37">
        <f>AC170+1</f>
        <v>20</v>
      </c>
    </row>
    <row r="180" spans="2:29" ht="13.5" customHeight="1">
      <c r="B180" s="99">
        <f>INDEX(QSGR!$B$16:$B$1570,AC179)</f>
        <v>0</v>
      </c>
      <c r="C180" s="121"/>
      <c r="D180" s="121"/>
      <c r="E180" s="97">
        <f>INDEX(QSGR!$D$16:$D$11170,AC179)</f>
        <v>0</v>
      </c>
      <c r="F180" s="121"/>
      <c r="G180" s="121"/>
      <c r="H180" s="121"/>
      <c r="I180" s="121"/>
      <c r="J180" s="121"/>
      <c r="K180" s="121"/>
      <c r="L180" s="121"/>
      <c r="M180" s="121"/>
      <c r="N180" s="121"/>
      <c r="O180" s="121"/>
      <c r="P180" s="121"/>
      <c r="Q180" s="121"/>
      <c r="R180" s="121"/>
      <c r="S180" s="121"/>
      <c r="T180" s="121"/>
      <c r="U180" s="121"/>
      <c r="V180" s="121"/>
      <c r="W180" s="121"/>
      <c r="X180" s="121"/>
      <c r="Y180" s="121"/>
      <c r="Z180" s="121"/>
      <c r="AA180" s="121"/>
      <c r="AB180" s="121"/>
    </row>
    <row r="181" spans="2:29" ht="13.5" customHeight="1">
      <c r="B181" s="96" t="str">
        <f>CONCATENATE("- Evento: ",INFO!$B$22)</f>
        <v>- Evento: PARTICIPAR DA OPERAÇÃO HORUS.</v>
      </c>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c r="AA181" s="121"/>
      <c r="AB181" s="121"/>
    </row>
    <row r="182" spans="2:29" ht="13.5" customHeight="1">
      <c r="B182" s="98" t="str">
        <f>CONCATENATE("- Documento de Solicitação: ",INFO!$B$24)</f>
        <v>- Documento de Solicitação: TESTE AZUL</v>
      </c>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c r="AB182" s="121"/>
    </row>
    <row r="183" spans="2:29" ht="13.5" customHeight="1">
      <c r="B183" s="98" t="str">
        <f>CONCATENATE("- Local: ",INFO!$C$18)</f>
        <v>- Local: GUAIRA - PR</v>
      </c>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c r="AA183" s="121"/>
      <c r="AB183" s="121"/>
    </row>
    <row r="184" spans="2:29" ht="13.5" customHeight="1">
      <c r="B184" s="98" t="str">
        <f>CONCATENATE("- Periodo: ",INFO!$C$10," a ",INFO!$C$19)</f>
        <v xml:space="preserve">- Periodo: 22/7/2025  a 23/8/2025 </v>
      </c>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c r="AA184" s="121"/>
      <c r="AB184" s="121"/>
    </row>
    <row r="185" spans="2:29" ht="13.5" customHeight="1">
      <c r="B185" s="98" t="str">
        <f>CONCATENATE("- Nr Dias: ",INFO!$C$20)</f>
        <v>- Nr Dias: 33</v>
      </c>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c r="AA185" s="121"/>
      <c r="AB185" s="121"/>
    </row>
    <row r="186" spans="2:29" ht="13.5" customHeight="1">
      <c r="B186" s="98" t="e">
        <f>CONCATENATE("- Valor Estimado: R$ ",INDEX(QSGR!$J$16:$J$11170,AC179))</f>
        <v>#N/A</v>
      </c>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c r="AA186" s="121"/>
      <c r="AB186" s="121"/>
    </row>
    <row r="187" spans="2:29" ht="13.5" customHeight="1">
      <c r="B187" s="100"/>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c r="AA187" s="121"/>
      <c r="AB187" s="121"/>
    </row>
    <row r="188" spans="2:29" ht="13.5" customHeight="1">
      <c r="B188" s="98" t="s">
        <v>55</v>
      </c>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c r="AB188" s="121"/>
      <c r="AC188" s="37">
        <f>AC179+1</f>
        <v>21</v>
      </c>
    </row>
    <row r="189" spans="2:29" ht="13.5" customHeight="1">
      <c r="B189" s="99">
        <f>INDEX(QSGR!$B$16:$B$1570,AC188)</f>
        <v>0</v>
      </c>
      <c r="C189" s="121"/>
      <c r="D189" s="121"/>
      <c r="E189" s="97">
        <f>INDEX(QSGR!$D$16:$D$11170,AC188)</f>
        <v>0</v>
      </c>
      <c r="F189" s="121"/>
      <c r="G189" s="121"/>
      <c r="H189" s="121"/>
      <c r="I189" s="121"/>
      <c r="J189" s="121"/>
      <c r="K189" s="121"/>
      <c r="L189" s="121"/>
      <c r="M189" s="121"/>
      <c r="N189" s="121"/>
      <c r="O189" s="121"/>
      <c r="P189" s="121"/>
      <c r="Q189" s="121"/>
      <c r="R189" s="121"/>
      <c r="S189" s="121"/>
      <c r="T189" s="121"/>
      <c r="U189" s="121"/>
      <c r="V189" s="121"/>
      <c r="W189" s="121"/>
      <c r="X189" s="121"/>
      <c r="Y189" s="121"/>
      <c r="Z189" s="121"/>
      <c r="AA189" s="121"/>
      <c r="AB189" s="121"/>
    </row>
    <row r="190" spans="2:29" ht="13.5" customHeight="1">
      <c r="B190" s="96" t="str">
        <f>CONCATENATE("- Evento: ",INFO!$B$22)</f>
        <v>- Evento: PARTICIPAR DA OPERAÇÃO HORUS.</v>
      </c>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c r="AA190" s="121"/>
      <c r="AB190" s="121"/>
    </row>
    <row r="191" spans="2:29" ht="13.5" customHeight="1">
      <c r="B191" s="98" t="str">
        <f>CONCATENATE("- Documento de Solicitação: ",INFO!$B$24)</f>
        <v>- Documento de Solicitação: TESTE AZUL</v>
      </c>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c r="AA191" s="121"/>
      <c r="AB191" s="121"/>
    </row>
    <row r="192" spans="2:29" ht="13.5" customHeight="1">
      <c r="B192" s="98" t="str">
        <f>CONCATENATE("- Local: ",INFO!$C$18)</f>
        <v>- Local: GUAIRA - PR</v>
      </c>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c r="AA192" s="121"/>
      <c r="AB192" s="121"/>
    </row>
    <row r="193" spans="2:29" ht="13.5" customHeight="1">
      <c r="B193" s="98" t="str">
        <f>CONCATENATE("- Periodo: ",INFO!$C$10," a ",INFO!$C$19)</f>
        <v xml:space="preserve">- Periodo: 22/7/2025  a 23/8/2025 </v>
      </c>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c r="AA193" s="121"/>
      <c r="AB193" s="121"/>
    </row>
    <row r="194" spans="2:29" ht="13.5" customHeight="1">
      <c r="B194" s="98" t="str">
        <f>CONCATENATE("- Nr Dias: ",INFO!$C$20)</f>
        <v>- Nr Dias: 33</v>
      </c>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c r="AA194" s="121"/>
      <c r="AB194" s="121"/>
    </row>
    <row r="195" spans="2:29" ht="13.5" customHeight="1">
      <c r="B195" s="98" t="e">
        <f>CONCATENATE("- Valor Estimado: R$ ",INDEX(QSGR!$J$16:$J$11170,AC188))</f>
        <v>#N/A</v>
      </c>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c r="AA195" s="121"/>
      <c r="AB195" s="121"/>
    </row>
    <row r="196" spans="2:29" ht="13.5" customHeight="1">
      <c r="B196" s="100"/>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c r="AA196" s="121"/>
      <c r="AB196" s="121"/>
    </row>
    <row r="197" spans="2:29" ht="13.5" customHeight="1">
      <c r="B197" s="98" t="s">
        <v>55</v>
      </c>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c r="AA197" s="121"/>
      <c r="AB197" s="121"/>
      <c r="AC197" s="37">
        <f>AC188+1</f>
        <v>22</v>
      </c>
    </row>
    <row r="198" spans="2:29" ht="13.5" customHeight="1">
      <c r="B198" s="99">
        <f>INDEX(QSGR!$B$16:$B$1570,AC197)</f>
        <v>0</v>
      </c>
      <c r="C198" s="121"/>
      <c r="D198" s="121"/>
      <c r="E198" s="97">
        <f>INDEX(QSGR!$D$16:$D$11170,AC197)</f>
        <v>0</v>
      </c>
      <c r="F198" s="121"/>
      <c r="G198" s="121"/>
      <c r="H198" s="121"/>
      <c r="I198" s="121"/>
      <c r="J198" s="121"/>
      <c r="K198" s="121"/>
      <c r="L198" s="121"/>
      <c r="M198" s="121"/>
      <c r="N198" s="121"/>
      <c r="O198" s="121"/>
      <c r="P198" s="121"/>
      <c r="Q198" s="121"/>
      <c r="R198" s="121"/>
      <c r="S198" s="121"/>
      <c r="T198" s="121"/>
      <c r="U198" s="121"/>
      <c r="V198" s="121"/>
      <c r="W198" s="121"/>
      <c r="X198" s="121"/>
      <c r="Y198" s="121"/>
      <c r="Z198" s="121"/>
      <c r="AA198" s="121"/>
      <c r="AB198" s="121"/>
    </row>
    <row r="199" spans="2:29" ht="13.5" customHeight="1">
      <c r="B199" s="96" t="str">
        <f>CONCATENATE("- Evento: ",INFO!$B$22)</f>
        <v>- Evento: PARTICIPAR DA OPERAÇÃO HORUS.</v>
      </c>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c r="AA199" s="121"/>
      <c r="AB199" s="121"/>
    </row>
    <row r="200" spans="2:29" ht="13.5" customHeight="1">
      <c r="B200" s="98" t="str">
        <f>CONCATENATE("- Documento de Solicitação: ",INFO!$B$24)</f>
        <v>- Documento de Solicitação: TESTE AZUL</v>
      </c>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c r="AA200" s="121"/>
      <c r="AB200" s="121"/>
    </row>
    <row r="201" spans="2:29" ht="13.5" customHeight="1">
      <c r="B201" s="98" t="str">
        <f>CONCATENATE("- Local: ",INFO!$C$18)</f>
        <v>- Local: GUAIRA - PR</v>
      </c>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c r="AA201" s="121"/>
      <c r="AB201" s="121"/>
    </row>
    <row r="202" spans="2:29" ht="13.5" customHeight="1">
      <c r="B202" s="98" t="str">
        <f>CONCATENATE("- Periodo: ",INFO!$C$10," a ",INFO!$C$19)</f>
        <v xml:space="preserve">- Periodo: 22/7/2025  a 23/8/2025 </v>
      </c>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c r="AA202" s="121"/>
      <c r="AB202" s="121"/>
    </row>
    <row r="203" spans="2:29" ht="13.5" customHeight="1">
      <c r="B203" s="98" t="str">
        <f>CONCATENATE("- Nr Dias: ",INFO!$C$20)</f>
        <v>- Nr Dias: 33</v>
      </c>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row>
    <row r="204" spans="2:29" ht="13.5" customHeight="1">
      <c r="B204" s="98" t="e">
        <f>CONCATENATE("- Valor Estimado: R$ ",INDEX(QSGR!$J$16:$J$11170,AC197))</f>
        <v>#N/A</v>
      </c>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c r="AA204" s="121"/>
      <c r="AB204" s="121"/>
    </row>
    <row r="205" spans="2:29" ht="13.5" customHeight="1">
      <c r="B205" s="100"/>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c r="AA205" s="121"/>
      <c r="AB205" s="121"/>
    </row>
    <row r="206" spans="2:29" ht="13.5" customHeight="1">
      <c r="B206" s="98" t="s">
        <v>55</v>
      </c>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c r="AA206" s="121"/>
      <c r="AB206" s="121"/>
      <c r="AC206" s="37">
        <f>AC197+1</f>
        <v>23</v>
      </c>
    </row>
    <row r="207" spans="2:29" ht="13.5" customHeight="1">
      <c r="B207" s="99">
        <f>INDEX(QSGR!$B$16:$B$1570,AC206)</f>
        <v>0</v>
      </c>
      <c r="C207" s="121"/>
      <c r="D207" s="121"/>
      <c r="E207" s="97">
        <f>INDEX(QSGR!$D$16:$D$11170,AC206)</f>
        <v>0</v>
      </c>
      <c r="F207" s="121"/>
      <c r="G207" s="121"/>
      <c r="H207" s="121"/>
      <c r="I207" s="121"/>
      <c r="J207" s="121"/>
      <c r="K207" s="121"/>
      <c r="L207" s="121"/>
      <c r="M207" s="121"/>
      <c r="N207" s="121"/>
      <c r="O207" s="121"/>
      <c r="P207" s="121"/>
      <c r="Q207" s="121"/>
      <c r="R207" s="121"/>
      <c r="S207" s="121"/>
      <c r="T207" s="121"/>
      <c r="U207" s="121"/>
      <c r="V207" s="121"/>
      <c r="W207" s="121"/>
      <c r="X207" s="121"/>
      <c r="Y207" s="121"/>
      <c r="Z207" s="121"/>
      <c r="AA207" s="121"/>
      <c r="AB207" s="121"/>
    </row>
    <row r="208" spans="2:29" ht="13.5" customHeight="1">
      <c r="B208" s="96" t="str">
        <f>CONCATENATE("- Evento: ",INFO!$B$22)</f>
        <v>- Evento: PARTICIPAR DA OPERAÇÃO HORUS.</v>
      </c>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c r="AA208" s="121"/>
      <c r="AB208" s="121"/>
    </row>
    <row r="209" spans="2:29" ht="13.5" customHeight="1">
      <c r="B209" s="98" t="str">
        <f>CONCATENATE("- Documento de Solicitação: ",INFO!$B$24)</f>
        <v>- Documento de Solicitação: TESTE AZUL</v>
      </c>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c r="AA209" s="121"/>
      <c r="AB209" s="121"/>
    </row>
    <row r="210" spans="2:29" ht="13.5" customHeight="1">
      <c r="B210" s="98" t="str">
        <f>CONCATENATE("- Local: ",INFO!$C$18)</f>
        <v>- Local: GUAIRA - PR</v>
      </c>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c r="AA210" s="121"/>
      <c r="AB210" s="121"/>
    </row>
    <row r="211" spans="2:29" ht="13.5" customHeight="1">
      <c r="B211" s="98" t="str">
        <f>CONCATENATE("- Periodo: ",INFO!$C$10," a ",INFO!$C$19)</f>
        <v xml:space="preserve">- Periodo: 22/7/2025  a 23/8/2025 </v>
      </c>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c r="AA211" s="121"/>
      <c r="AB211" s="121"/>
    </row>
    <row r="212" spans="2:29" ht="13.5" customHeight="1">
      <c r="B212" s="98" t="str">
        <f>CONCATENATE("- Nr Dias: ",INFO!$C$20)</f>
        <v>- Nr Dias: 33</v>
      </c>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c r="AA212" s="121"/>
      <c r="AB212" s="121"/>
    </row>
    <row r="213" spans="2:29" ht="13.5" customHeight="1">
      <c r="B213" s="98" t="e">
        <f>CONCATENATE("- Valor Estimado: R$ ",INDEX(QSGR!$J$16:$J$11170,AC206))</f>
        <v>#N/A</v>
      </c>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c r="AA213" s="121"/>
      <c r="AB213" s="121"/>
    </row>
    <row r="214" spans="2:29" ht="13.5" customHeight="1">
      <c r="B214" s="100"/>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c r="AA214" s="121"/>
      <c r="AB214" s="121"/>
    </row>
    <row r="215" spans="2:29" ht="13.5" customHeight="1">
      <c r="B215" s="98" t="s">
        <v>55</v>
      </c>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c r="AA215" s="121"/>
      <c r="AB215" s="121"/>
      <c r="AC215" s="37">
        <f>AC206+1</f>
        <v>24</v>
      </c>
    </row>
    <row r="216" spans="2:29" ht="13.5" customHeight="1">
      <c r="B216" s="99">
        <f>INDEX(QSGR!$B$16:$B$1570,AC215)</f>
        <v>0</v>
      </c>
      <c r="C216" s="121"/>
      <c r="D216" s="121"/>
      <c r="E216" s="97">
        <f>INDEX(QSGR!$D$16:$D$11170,AC215)</f>
        <v>0</v>
      </c>
      <c r="F216" s="121"/>
      <c r="G216" s="121"/>
      <c r="H216" s="121"/>
      <c r="I216" s="121"/>
      <c r="J216" s="121"/>
      <c r="K216" s="121"/>
      <c r="L216" s="121"/>
      <c r="M216" s="121"/>
      <c r="N216" s="121"/>
      <c r="O216" s="121"/>
      <c r="P216" s="121"/>
      <c r="Q216" s="121"/>
      <c r="R216" s="121"/>
      <c r="S216" s="121"/>
      <c r="T216" s="121"/>
      <c r="U216" s="121"/>
      <c r="V216" s="121"/>
      <c r="W216" s="121"/>
      <c r="X216" s="121"/>
      <c r="Y216" s="121"/>
      <c r="Z216" s="121"/>
      <c r="AA216" s="121"/>
      <c r="AB216" s="121"/>
    </row>
    <row r="217" spans="2:29" ht="13.5" customHeight="1">
      <c r="B217" s="96" t="str">
        <f>CONCATENATE("- Evento: ",INFO!$B$22)</f>
        <v>- Evento: PARTICIPAR DA OPERAÇÃO HORUS.</v>
      </c>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c r="AA217" s="121"/>
      <c r="AB217" s="121"/>
    </row>
    <row r="218" spans="2:29" ht="13.5" customHeight="1">
      <c r="B218" s="98" t="str">
        <f>CONCATENATE("- Documento de Solicitação: ",INFO!$B$24)</f>
        <v>- Documento de Solicitação: TESTE AZUL</v>
      </c>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c r="AA218" s="121"/>
      <c r="AB218" s="121"/>
    </row>
    <row r="219" spans="2:29" ht="13.5" customHeight="1">
      <c r="B219" s="98" t="str">
        <f>CONCATENATE("- Local: ",INFO!$C$18)</f>
        <v>- Local: GUAIRA - PR</v>
      </c>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c r="AA219" s="121"/>
      <c r="AB219" s="121"/>
    </row>
    <row r="220" spans="2:29" ht="13.5" customHeight="1">
      <c r="B220" s="98" t="str">
        <f>CONCATENATE("- Periodo: ",INFO!$C$10," a ",INFO!$C$19)</f>
        <v xml:space="preserve">- Periodo: 22/7/2025  a 23/8/2025 </v>
      </c>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c r="AA220" s="121"/>
      <c r="AB220" s="121"/>
    </row>
    <row r="221" spans="2:29" ht="13.5" customHeight="1">
      <c r="B221" s="98" t="str">
        <f>CONCATENATE("- Nr Dias: ",INFO!$C$20)</f>
        <v>- Nr Dias: 33</v>
      </c>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c r="AA221" s="121"/>
      <c r="AB221" s="121"/>
    </row>
    <row r="222" spans="2:29" ht="13.5" customHeight="1">
      <c r="B222" s="98" t="e">
        <f>CONCATENATE("- Valor Estimado: R$ ",INDEX(QSGR!$J$16:$J$11170,AC215))</f>
        <v>#N/A</v>
      </c>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c r="AA222" s="121"/>
      <c r="AB222" s="121"/>
    </row>
    <row r="223" spans="2:29" ht="13.5" customHeight="1">
      <c r="B223" s="100"/>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c r="AA223" s="121"/>
      <c r="AB223" s="121"/>
    </row>
    <row r="224" spans="2:29" ht="13.5" customHeight="1">
      <c r="B224" s="98" t="s">
        <v>55</v>
      </c>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c r="AA224" s="121"/>
      <c r="AB224" s="121"/>
      <c r="AC224" s="37">
        <f>AC215+1</f>
        <v>25</v>
      </c>
    </row>
    <row r="225" spans="2:29" ht="13.5" customHeight="1">
      <c r="B225" s="99">
        <f>INDEX(QSGR!$B$16:$B$1570,AC224)</f>
        <v>0</v>
      </c>
      <c r="C225" s="121"/>
      <c r="D225" s="121"/>
      <c r="E225" s="97">
        <f>INDEX(QSGR!$D$16:$D$11170,AC224)</f>
        <v>0</v>
      </c>
      <c r="F225" s="121"/>
      <c r="G225" s="121"/>
      <c r="H225" s="121"/>
      <c r="I225" s="121"/>
      <c r="J225" s="121"/>
      <c r="K225" s="121"/>
      <c r="L225" s="121"/>
      <c r="M225" s="121"/>
      <c r="N225" s="121"/>
      <c r="O225" s="121"/>
      <c r="P225" s="121"/>
      <c r="Q225" s="121"/>
      <c r="R225" s="121"/>
      <c r="S225" s="121"/>
      <c r="T225" s="121"/>
      <c r="U225" s="121"/>
      <c r="V225" s="121"/>
      <c r="W225" s="121"/>
      <c r="X225" s="121"/>
      <c r="Y225" s="121"/>
      <c r="Z225" s="121"/>
      <c r="AA225" s="121"/>
      <c r="AB225" s="121"/>
    </row>
    <row r="226" spans="2:29" ht="13.5" customHeight="1">
      <c r="B226" s="96" t="str">
        <f>CONCATENATE("- Evento: ",INFO!$B$22)</f>
        <v>- Evento: PARTICIPAR DA OPERAÇÃO HORUS.</v>
      </c>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c r="AA226" s="121"/>
      <c r="AB226" s="121"/>
    </row>
    <row r="227" spans="2:29" ht="13.5" customHeight="1">
      <c r="B227" s="98" t="str">
        <f>CONCATENATE("- Documento de Solicitação: ",INFO!$B$24)</f>
        <v>- Documento de Solicitação: TESTE AZUL</v>
      </c>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c r="AA227" s="121"/>
      <c r="AB227" s="121"/>
    </row>
    <row r="228" spans="2:29" ht="13.5" customHeight="1">
      <c r="B228" s="98" t="str">
        <f>CONCATENATE("- Local: ",INFO!$C$18)</f>
        <v>- Local: GUAIRA - PR</v>
      </c>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c r="AA228" s="121"/>
      <c r="AB228" s="121"/>
    </row>
    <row r="229" spans="2:29" ht="13.5" customHeight="1">
      <c r="B229" s="98" t="str">
        <f>CONCATENATE("- Periodo: ",INFO!$C$10," a ",INFO!$C$19)</f>
        <v xml:space="preserve">- Periodo: 22/7/2025  a 23/8/2025 </v>
      </c>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c r="AA229" s="121"/>
      <c r="AB229" s="121"/>
    </row>
    <row r="230" spans="2:29" ht="13.5" customHeight="1">
      <c r="B230" s="98" t="str">
        <f>CONCATENATE("- Nr Dias: ",INFO!$C$20)</f>
        <v>- Nr Dias: 33</v>
      </c>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c r="AA230" s="121"/>
      <c r="AB230" s="121"/>
    </row>
    <row r="231" spans="2:29" ht="13.5" customHeight="1">
      <c r="B231" s="98" t="e">
        <f>CONCATENATE("- Valor Estimado: R$ ",INDEX(QSGR!$J$16:$J$11170,AC224))</f>
        <v>#N/A</v>
      </c>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c r="AA231" s="121"/>
      <c r="AB231" s="121"/>
    </row>
    <row r="232" spans="2:29" ht="13.5" customHeight="1">
      <c r="B232" s="100"/>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c r="AA232" s="121"/>
      <c r="AB232" s="121"/>
    </row>
    <row r="233" spans="2:29" ht="13.5" customHeight="1">
      <c r="B233" s="98" t="s">
        <v>55</v>
      </c>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c r="AA233" s="121"/>
      <c r="AB233" s="121"/>
      <c r="AC233" s="37">
        <f>AC224+1</f>
        <v>26</v>
      </c>
    </row>
    <row r="234" spans="2:29" ht="13.5" customHeight="1">
      <c r="B234" s="99">
        <f>INDEX(QSGR!$B$16:$B$1570,AC233)</f>
        <v>0</v>
      </c>
      <c r="C234" s="121"/>
      <c r="D234" s="121"/>
      <c r="E234" s="97">
        <f>INDEX(QSGR!$D$16:$D$11170,AC233)</f>
        <v>0</v>
      </c>
      <c r="F234" s="121"/>
      <c r="G234" s="121"/>
      <c r="H234" s="121"/>
      <c r="I234" s="121"/>
      <c r="J234" s="121"/>
      <c r="K234" s="121"/>
      <c r="L234" s="121"/>
      <c r="M234" s="121"/>
      <c r="N234" s="121"/>
      <c r="O234" s="121"/>
      <c r="P234" s="121"/>
      <c r="Q234" s="121"/>
      <c r="R234" s="121"/>
      <c r="S234" s="121"/>
      <c r="T234" s="121"/>
      <c r="U234" s="121"/>
      <c r="V234" s="121"/>
      <c r="W234" s="121"/>
      <c r="X234" s="121"/>
      <c r="Y234" s="121"/>
      <c r="Z234" s="121"/>
      <c r="AA234" s="121"/>
      <c r="AB234" s="121"/>
    </row>
    <row r="235" spans="2:29" ht="13.5" customHeight="1">
      <c r="B235" s="96" t="str">
        <f>CONCATENATE("- Evento: ",INFO!$B$22)</f>
        <v>- Evento: PARTICIPAR DA OPERAÇÃO HORUS.</v>
      </c>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c r="AA235" s="121"/>
      <c r="AB235" s="121"/>
    </row>
    <row r="236" spans="2:29" ht="13.5" customHeight="1">
      <c r="B236" s="98" t="str">
        <f>CONCATENATE("- Documento de Solicitação: ",INFO!$B$24)</f>
        <v>- Documento de Solicitação: TESTE AZUL</v>
      </c>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c r="AA236" s="121"/>
      <c r="AB236" s="121"/>
    </row>
    <row r="237" spans="2:29" ht="13.5" customHeight="1">
      <c r="B237" s="98" t="str">
        <f>CONCATENATE("- Local: ",INFO!$C$18)</f>
        <v>- Local: GUAIRA - PR</v>
      </c>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c r="AA237" s="121"/>
      <c r="AB237" s="121"/>
    </row>
    <row r="238" spans="2:29" ht="13.5" customHeight="1">
      <c r="B238" s="98" t="str">
        <f>CONCATENATE("- Periodo: ",INFO!$C$10," a ",INFO!$C$19)</f>
        <v xml:space="preserve">- Periodo: 22/7/2025  a 23/8/2025 </v>
      </c>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c r="AA238" s="121"/>
      <c r="AB238" s="121"/>
    </row>
    <row r="239" spans="2:29" ht="13.5" customHeight="1">
      <c r="B239" s="98" t="str">
        <f>CONCATENATE("- Nr Dias: ",INFO!$C$20)</f>
        <v>- Nr Dias: 33</v>
      </c>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c r="AA239" s="121"/>
      <c r="AB239" s="121"/>
    </row>
    <row r="240" spans="2:29" ht="13.5" customHeight="1">
      <c r="B240" s="98" t="e">
        <f>CONCATENATE("- Valor Estimado: R$ ",INDEX(QSGR!$J$16:$J$11170,AC233))</f>
        <v>#N/A</v>
      </c>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c r="AA240" s="121"/>
      <c r="AB240" s="121"/>
    </row>
    <row r="241" spans="2:29" ht="13.5" customHeight="1">
      <c r="B241" s="100"/>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c r="AA241" s="121"/>
      <c r="AB241" s="121"/>
    </row>
    <row r="242" spans="2:29" ht="13.5" customHeight="1">
      <c r="B242" s="98" t="s">
        <v>55</v>
      </c>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c r="AA242" s="121"/>
      <c r="AB242" s="121"/>
      <c r="AC242" s="37">
        <f>AC233+1</f>
        <v>27</v>
      </c>
    </row>
    <row r="243" spans="2:29" ht="13.5" customHeight="1">
      <c r="B243" s="99">
        <f>INDEX(QSGR!$B$16:$B$1570,AC242)</f>
        <v>0</v>
      </c>
      <c r="C243" s="121"/>
      <c r="D243" s="121"/>
      <c r="E243" s="97">
        <f>INDEX(QSGR!$D$16:$D$11170,AC242)</f>
        <v>0</v>
      </c>
      <c r="F243" s="121"/>
      <c r="G243" s="121"/>
      <c r="H243" s="121"/>
      <c r="I243" s="121"/>
      <c r="J243" s="121"/>
      <c r="K243" s="121"/>
      <c r="L243" s="121"/>
      <c r="M243" s="121"/>
      <c r="N243" s="121"/>
      <c r="O243" s="121"/>
      <c r="P243" s="121"/>
      <c r="Q243" s="121"/>
      <c r="R243" s="121"/>
      <c r="S243" s="121"/>
      <c r="T243" s="121"/>
      <c r="U243" s="121"/>
      <c r="V243" s="121"/>
      <c r="W243" s="121"/>
      <c r="X243" s="121"/>
      <c r="Y243" s="121"/>
      <c r="Z243" s="121"/>
      <c r="AA243" s="121"/>
      <c r="AB243" s="121"/>
    </row>
    <row r="244" spans="2:29" ht="13.5" customHeight="1">
      <c r="B244" s="96" t="str">
        <f>CONCATENATE("- Evento: ",INFO!$B$22)</f>
        <v>- Evento: PARTICIPAR DA OPERAÇÃO HORUS.</v>
      </c>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c r="AA244" s="121"/>
      <c r="AB244" s="121"/>
    </row>
    <row r="245" spans="2:29" ht="13.5" customHeight="1">
      <c r="B245" s="98" t="str">
        <f>CONCATENATE("- Documento de Solicitação: ",INFO!$B$24)</f>
        <v>- Documento de Solicitação: TESTE AZUL</v>
      </c>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c r="AA245" s="121"/>
      <c r="AB245" s="121"/>
    </row>
    <row r="246" spans="2:29" ht="13.5" customHeight="1">
      <c r="B246" s="98" t="str">
        <f>CONCATENATE("- Local: ",INFO!$C$18)</f>
        <v>- Local: GUAIRA - PR</v>
      </c>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c r="AA246" s="121"/>
      <c r="AB246" s="121"/>
    </row>
    <row r="247" spans="2:29" ht="13.5" customHeight="1">
      <c r="B247" s="98" t="str">
        <f>CONCATENATE("- Periodo: ",INFO!$C$10," a ",INFO!$C$19)</f>
        <v xml:space="preserve">- Periodo: 22/7/2025  a 23/8/2025 </v>
      </c>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c r="AA247" s="121"/>
      <c r="AB247" s="121"/>
    </row>
    <row r="248" spans="2:29" ht="13.5" customHeight="1">
      <c r="B248" s="98" t="str">
        <f>CONCATENATE("- Nr Dias: ",INFO!$C$20)</f>
        <v>- Nr Dias: 33</v>
      </c>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c r="AA248" s="121"/>
      <c r="AB248" s="121"/>
    </row>
    <row r="249" spans="2:29" ht="13.5" customHeight="1">
      <c r="B249" s="98" t="e">
        <f>CONCATENATE("- Valor Estimado: R$ ",INDEX(QSGR!$J$16:$J$11170,AC242))</f>
        <v>#N/A</v>
      </c>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c r="AA249" s="121"/>
      <c r="AB249" s="121"/>
    </row>
    <row r="250" spans="2:29" ht="13.5" customHeight="1">
      <c r="B250" s="100"/>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c r="AA250" s="121"/>
      <c r="AB250" s="121"/>
    </row>
    <row r="251" spans="2:29" ht="13.5" customHeight="1">
      <c r="B251" s="98" t="s">
        <v>55</v>
      </c>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37">
        <f>AC242+1</f>
        <v>28</v>
      </c>
    </row>
    <row r="252" spans="2:29" ht="13.5" customHeight="1">
      <c r="B252" s="99">
        <f>INDEX(QSGR!$B$16:$B$1570,AC251)</f>
        <v>0</v>
      </c>
      <c r="C252" s="121"/>
      <c r="D252" s="121"/>
      <c r="E252" s="97">
        <f>INDEX(QSGR!$D$16:$D$11170,AC251)</f>
        <v>0</v>
      </c>
      <c r="F252" s="121"/>
      <c r="G252" s="121"/>
      <c r="H252" s="121"/>
      <c r="I252" s="121"/>
      <c r="J252" s="121"/>
      <c r="K252" s="121"/>
      <c r="L252" s="121"/>
      <c r="M252" s="121"/>
      <c r="N252" s="121"/>
      <c r="O252" s="121"/>
      <c r="P252" s="121"/>
      <c r="Q252" s="121"/>
      <c r="R252" s="121"/>
      <c r="S252" s="121"/>
      <c r="T252" s="121"/>
      <c r="U252" s="121"/>
      <c r="V252" s="121"/>
      <c r="W252" s="121"/>
      <c r="X252" s="121"/>
      <c r="Y252" s="121"/>
      <c r="Z252" s="121"/>
      <c r="AA252" s="121"/>
      <c r="AB252" s="121"/>
    </row>
    <row r="253" spans="2:29" ht="13.5" customHeight="1">
      <c r="B253" s="96" t="str">
        <f>CONCATENATE("- Evento: ",INFO!$B$22)</f>
        <v>- Evento: PARTICIPAR DA OPERAÇÃO HORUS.</v>
      </c>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c r="AA253" s="121"/>
      <c r="AB253" s="121"/>
    </row>
    <row r="254" spans="2:29" ht="13.5" customHeight="1">
      <c r="B254" s="98" t="str">
        <f>CONCATENATE("- Documento de Solicitação: ",INFO!$B$24)</f>
        <v>- Documento de Solicitação: TESTE AZUL</v>
      </c>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c r="AA254" s="121"/>
      <c r="AB254" s="121"/>
    </row>
    <row r="255" spans="2:29" ht="13.5" customHeight="1">
      <c r="B255" s="98" t="str">
        <f>CONCATENATE("- Local: ",INFO!$C$18)</f>
        <v>- Local: GUAIRA - PR</v>
      </c>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c r="AA255" s="121"/>
      <c r="AB255" s="121"/>
    </row>
    <row r="256" spans="2:29" ht="13.5" customHeight="1">
      <c r="B256" s="98" t="str">
        <f>CONCATENATE("- Periodo: ",INFO!$C$10," a ",INFO!$C$19)</f>
        <v xml:space="preserve">- Periodo: 22/7/2025  a 23/8/2025 </v>
      </c>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c r="AA256" s="121"/>
      <c r="AB256" s="121"/>
    </row>
    <row r="257" spans="2:29" ht="13.5" customHeight="1">
      <c r="B257" s="98" t="str">
        <f>CONCATENATE("- Nr Dias: ",INFO!$C$20)</f>
        <v>- Nr Dias: 33</v>
      </c>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c r="AA257" s="121"/>
      <c r="AB257" s="121"/>
    </row>
    <row r="258" spans="2:29" ht="13.5" customHeight="1">
      <c r="B258" s="98" t="e">
        <f>CONCATENATE("- Valor Estimado: R$ ",INDEX(QSGR!$J$16:$J$11170,AC251))</f>
        <v>#N/A</v>
      </c>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c r="AA258" s="121"/>
      <c r="AB258" s="121"/>
    </row>
    <row r="259" spans="2:29" ht="13.5" customHeight="1">
      <c r="B259" s="100"/>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c r="AA259" s="121"/>
      <c r="AB259" s="121"/>
    </row>
    <row r="260" spans="2:29" ht="13.5" customHeight="1">
      <c r="B260" s="98" t="s">
        <v>55</v>
      </c>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c r="AA260" s="121"/>
      <c r="AB260" s="121"/>
      <c r="AC260" s="37">
        <f>AC251+1</f>
        <v>29</v>
      </c>
    </row>
    <row r="261" spans="2:29" ht="13.5" customHeight="1">
      <c r="B261" s="99">
        <f>INDEX(QSGR!$B$16:$B$1570,AC260)</f>
        <v>0</v>
      </c>
      <c r="C261" s="121"/>
      <c r="D261" s="121"/>
      <c r="E261" s="97">
        <f>INDEX(QSGR!$D$16:$D$11170,AC260)</f>
        <v>0</v>
      </c>
      <c r="F261" s="121"/>
      <c r="G261" s="121"/>
      <c r="H261" s="121"/>
      <c r="I261" s="121"/>
      <c r="J261" s="121"/>
      <c r="K261" s="121"/>
      <c r="L261" s="121"/>
      <c r="M261" s="121"/>
      <c r="N261" s="121"/>
      <c r="O261" s="121"/>
      <c r="P261" s="121"/>
      <c r="Q261" s="121"/>
      <c r="R261" s="121"/>
      <c r="S261" s="121"/>
      <c r="T261" s="121"/>
      <c r="U261" s="121"/>
      <c r="V261" s="121"/>
      <c r="W261" s="121"/>
      <c r="X261" s="121"/>
      <c r="Y261" s="121"/>
      <c r="Z261" s="121"/>
      <c r="AA261" s="121"/>
      <c r="AB261" s="121"/>
    </row>
    <row r="262" spans="2:29" ht="13.5" customHeight="1">
      <c r="B262" s="96" t="str">
        <f>CONCATENATE("- Evento: ",INFO!$B$22)</f>
        <v>- Evento: PARTICIPAR DA OPERAÇÃO HORUS.</v>
      </c>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c r="AA262" s="121"/>
      <c r="AB262" s="121"/>
    </row>
    <row r="263" spans="2:29" ht="13.5" customHeight="1">
      <c r="B263" s="98" t="str">
        <f>CONCATENATE("- Documento de Solicitação: ",INFO!$B$24)</f>
        <v>- Documento de Solicitação: TESTE AZUL</v>
      </c>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c r="AA263" s="121"/>
      <c r="AB263" s="121"/>
    </row>
    <row r="264" spans="2:29" ht="13.5" customHeight="1">
      <c r="B264" s="98" t="str">
        <f>CONCATENATE("- Local: ",INFO!$C$18)</f>
        <v>- Local: GUAIRA - PR</v>
      </c>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c r="AA264" s="121"/>
      <c r="AB264" s="121"/>
    </row>
    <row r="265" spans="2:29" ht="13.5" customHeight="1">
      <c r="B265" s="98" t="str">
        <f>CONCATENATE("- Periodo: ",INFO!$C$10," a ",INFO!$C$19)</f>
        <v xml:space="preserve">- Periodo: 22/7/2025  a 23/8/2025 </v>
      </c>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c r="AA265" s="121"/>
      <c r="AB265" s="121"/>
    </row>
    <row r="266" spans="2:29" ht="13.5" customHeight="1">
      <c r="B266" s="98" t="str">
        <f>CONCATENATE("- Nr Dias: ",INFO!$C$20)</f>
        <v>- Nr Dias: 33</v>
      </c>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c r="AA266" s="121"/>
      <c r="AB266" s="121"/>
    </row>
    <row r="267" spans="2:29" ht="13.5" customHeight="1">
      <c r="B267" s="98" t="e">
        <f>CONCATENATE("- Valor Estimado: R$ ",INDEX(QSGR!$J$16:$J$11170,AC260))</f>
        <v>#N/A</v>
      </c>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c r="AA267" s="121"/>
      <c r="AB267" s="121"/>
    </row>
    <row r="268" spans="2:29" ht="13.5" customHeight="1">
      <c r="B268" s="100"/>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c r="AA268" s="121"/>
      <c r="AB268" s="121"/>
    </row>
    <row r="269" spans="2:29" ht="13.5" customHeight="1">
      <c r="B269" s="98" t="s">
        <v>55</v>
      </c>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c r="AA269" s="121"/>
      <c r="AB269" s="121"/>
      <c r="AC269" s="37">
        <f>AC260+1</f>
        <v>30</v>
      </c>
    </row>
    <row r="270" spans="2:29" ht="13.5" customHeight="1">
      <c r="B270" s="99">
        <f>INDEX(QSGR!$B$16:$B$1570,AC269)</f>
        <v>0</v>
      </c>
      <c r="C270" s="121"/>
      <c r="D270" s="121"/>
      <c r="E270" s="97">
        <f>INDEX(QSGR!$D$16:$D$11170,AC269)</f>
        <v>0</v>
      </c>
      <c r="F270" s="121"/>
      <c r="G270" s="121"/>
      <c r="H270" s="121"/>
      <c r="I270" s="121"/>
      <c r="J270" s="121"/>
      <c r="K270" s="121"/>
      <c r="L270" s="121"/>
      <c r="M270" s="121"/>
      <c r="N270" s="121"/>
      <c r="O270" s="121"/>
      <c r="P270" s="121"/>
      <c r="Q270" s="121"/>
      <c r="R270" s="121"/>
      <c r="S270" s="121"/>
      <c r="T270" s="121"/>
      <c r="U270" s="121"/>
      <c r="V270" s="121"/>
      <c r="W270" s="121"/>
      <c r="X270" s="121"/>
      <c r="Y270" s="121"/>
      <c r="Z270" s="121"/>
      <c r="AA270" s="121"/>
      <c r="AB270" s="121"/>
    </row>
    <row r="271" spans="2:29" ht="13.5" customHeight="1">
      <c r="B271" s="96" t="str">
        <f>CONCATENATE("- Evento: ",INFO!$B$22)</f>
        <v>- Evento: PARTICIPAR DA OPERAÇÃO HORUS.</v>
      </c>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c r="AA271" s="121"/>
      <c r="AB271" s="121"/>
    </row>
    <row r="272" spans="2:29" ht="13.5" customHeight="1">
      <c r="B272" s="98" t="str">
        <f>CONCATENATE("- Documento de Solicitação: ",INFO!$B$24)</f>
        <v>- Documento de Solicitação: TESTE AZUL</v>
      </c>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c r="AA272" s="121"/>
      <c r="AB272" s="121"/>
    </row>
    <row r="273" spans="2:29" ht="13.5" customHeight="1">
      <c r="B273" s="98" t="str">
        <f>CONCATENATE("- Local: ",INFO!$C$18)</f>
        <v>- Local: GUAIRA - PR</v>
      </c>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c r="AA273" s="121"/>
      <c r="AB273" s="121"/>
    </row>
    <row r="274" spans="2:29" ht="13.5" customHeight="1">
      <c r="B274" s="98" t="str">
        <f>CONCATENATE("- Periodo: ",INFO!$C$10," a ",INFO!$C$19)</f>
        <v xml:space="preserve">- Periodo: 22/7/2025  a 23/8/2025 </v>
      </c>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c r="AA274" s="121"/>
      <c r="AB274" s="121"/>
    </row>
    <row r="275" spans="2:29" ht="13.5" customHeight="1">
      <c r="B275" s="98" t="str">
        <f>CONCATENATE("- Nr Dias: ",INFO!$C$20)</f>
        <v>- Nr Dias: 33</v>
      </c>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c r="AA275" s="121"/>
      <c r="AB275" s="121"/>
    </row>
    <row r="276" spans="2:29" ht="13.5" customHeight="1">
      <c r="B276" s="98" t="e">
        <f>CONCATENATE("- Valor Estimado: R$ ",INDEX(QSGR!$J$16:$J$11170,AC269))</f>
        <v>#N/A</v>
      </c>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c r="AA276" s="121"/>
      <c r="AB276" s="121"/>
    </row>
    <row r="277" spans="2:29" ht="13.5" customHeight="1">
      <c r="B277" s="100"/>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c r="AA277" s="121"/>
      <c r="AB277" s="121"/>
    </row>
    <row r="278" spans="2:29" ht="13.5" customHeight="1">
      <c r="B278" s="98" t="s">
        <v>55</v>
      </c>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c r="AA278" s="121"/>
      <c r="AB278" s="121"/>
      <c r="AC278" s="37">
        <f>AC269+1</f>
        <v>31</v>
      </c>
    </row>
    <row r="279" spans="2:29" ht="13.5" customHeight="1">
      <c r="B279" s="99">
        <f>INDEX(QSGR!$B$16:$B$1570,AC278)</f>
        <v>0</v>
      </c>
      <c r="C279" s="121"/>
      <c r="D279" s="121"/>
      <c r="E279" s="97">
        <f>INDEX(QSGR!$D$16:$D$11170,AC278)</f>
        <v>0</v>
      </c>
      <c r="F279" s="121"/>
      <c r="G279" s="121"/>
      <c r="H279" s="121"/>
      <c r="I279" s="121"/>
      <c r="J279" s="121"/>
      <c r="K279" s="121"/>
      <c r="L279" s="121"/>
      <c r="M279" s="121"/>
      <c r="N279" s="121"/>
      <c r="O279" s="121"/>
      <c r="P279" s="121"/>
      <c r="Q279" s="121"/>
      <c r="R279" s="121"/>
      <c r="S279" s="121"/>
      <c r="T279" s="121"/>
      <c r="U279" s="121"/>
      <c r="V279" s="121"/>
      <c r="W279" s="121"/>
      <c r="X279" s="121"/>
      <c r="Y279" s="121"/>
      <c r="Z279" s="121"/>
      <c r="AA279" s="121"/>
      <c r="AB279" s="121"/>
    </row>
    <row r="280" spans="2:29" ht="13.5" customHeight="1">
      <c r="B280" s="96" t="str">
        <f>CONCATENATE("- Evento: ",INFO!$B$22)</f>
        <v>- Evento: PARTICIPAR DA OPERAÇÃO HORUS.</v>
      </c>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c r="AA280" s="121"/>
      <c r="AB280" s="121"/>
    </row>
    <row r="281" spans="2:29" ht="13.5" customHeight="1">
      <c r="B281" s="98" t="str">
        <f>CONCATENATE("- Documento de Solicitação: ",INFO!$B$24)</f>
        <v>- Documento de Solicitação: TESTE AZUL</v>
      </c>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c r="AA281" s="121"/>
      <c r="AB281" s="121"/>
    </row>
    <row r="282" spans="2:29" ht="13.5" customHeight="1">
      <c r="B282" s="98" t="str">
        <f>CONCATENATE("- Local: ",INFO!$C$18)</f>
        <v>- Local: GUAIRA - PR</v>
      </c>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c r="AA282" s="121"/>
      <c r="AB282" s="121"/>
    </row>
    <row r="283" spans="2:29" ht="13.5" customHeight="1">
      <c r="B283" s="98" t="str">
        <f>CONCATENATE("- Periodo: ",INFO!$C$10," a ",INFO!$C$19)</f>
        <v xml:space="preserve">- Periodo: 22/7/2025  a 23/8/2025 </v>
      </c>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c r="AA283" s="121"/>
      <c r="AB283" s="121"/>
    </row>
    <row r="284" spans="2:29" ht="13.5" customHeight="1">
      <c r="B284" s="98" t="str">
        <f>CONCATENATE("- Nr Dias: ",INFO!$C$20)</f>
        <v>- Nr Dias: 33</v>
      </c>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c r="AA284" s="121"/>
      <c r="AB284" s="121"/>
    </row>
    <row r="285" spans="2:29" ht="13.5" customHeight="1">
      <c r="B285" s="98" t="e">
        <f>CONCATENATE("- Valor Estimado: R$ ",INDEX(QSGR!$J$16:$J$11170,AC278))</f>
        <v>#N/A</v>
      </c>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c r="AA285" s="121"/>
      <c r="AB285" s="121"/>
    </row>
    <row r="286" spans="2:29" ht="13.5" customHeight="1">
      <c r="B286" s="100"/>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c r="AA286" s="121"/>
      <c r="AB286" s="121"/>
    </row>
    <row r="287" spans="2:29" ht="13.5" customHeight="1">
      <c r="B287" s="98" t="s">
        <v>55</v>
      </c>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c r="AA287" s="121"/>
      <c r="AB287" s="121"/>
      <c r="AC287" s="37">
        <f>AC278+1</f>
        <v>32</v>
      </c>
    </row>
    <row r="288" spans="2:29" ht="13.5" customHeight="1">
      <c r="B288" s="99">
        <f>INDEX(QSGR!$B$16:$B$1570,AC287)</f>
        <v>0</v>
      </c>
      <c r="C288" s="121"/>
      <c r="D288" s="121"/>
      <c r="E288" s="97">
        <f>INDEX(QSGR!$D$16:$D$11170,AC287)</f>
        <v>0</v>
      </c>
      <c r="F288" s="121"/>
      <c r="G288" s="121"/>
      <c r="H288" s="121"/>
      <c r="I288" s="121"/>
      <c r="J288" s="121"/>
      <c r="K288" s="121"/>
      <c r="L288" s="121"/>
      <c r="M288" s="121"/>
      <c r="N288" s="121"/>
      <c r="O288" s="121"/>
      <c r="P288" s="121"/>
      <c r="Q288" s="121"/>
      <c r="R288" s="121"/>
      <c r="S288" s="121"/>
      <c r="T288" s="121"/>
      <c r="U288" s="121"/>
      <c r="V288" s="121"/>
      <c r="W288" s="121"/>
      <c r="X288" s="121"/>
      <c r="Y288" s="121"/>
      <c r="Z288" s="121"/>
      <c r="AA288" s="121"/>
      <c r="AB288" s="121"/>
    </row>
    <row r="289" spans="2:29" ht="13.5" customHeight="1">
      <c r="B289" s="96" t="str">
        <f>CONCATENATE("- Evento: ",INFO!$B$22)</f>
        <v>- Evento: PARTICIPAR DA OPERAÇÃO HORUS.</v>
      </c>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c r="AA289" s="121"/>
      <c r="AB289" s="121"/>
    </row>
    <row r="290" spans="2:29" ht="13.5" customHeight="1">
      <c r="B290" s="98" t="str">
        <f>CONCATENATE("- Documento de Solicitação: ",INFO!$B$24)</f>
        <v>- Documento de Solicitação: TESTE AZUL</v>
      </c>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c r="AA290" s="121"/>
      <c r="AB290" s="121"/>
    </row>
    <row r="291" spans="2:29" ht="13.5" customHeight="1">
      <c r="B291" s="98" t="str">
        <f>CONCATENATE("- Local: ",INFO!$C$18)</f>
        <v>- Local: GUAIRA - PR</v>
      </c>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c r="AA291" s="121"/>
      <c r="AB291" s="121"/>
    </row>
    <row r="292" spans="2:29" ht="13.5" customHeight="1">
      <c r="B292" s="98" t="str">
        <f>CONCATENATE("- Periodo: ",INFO!$C$10," a ",INFO!$C$19)</f>
        <v xml:space="preserve">- Periodo: 22/7/2025  a 23/8/2025 </v>
      </c>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c r="AA292" s="121"/>
      <c r="AB292" s="121"/>
    </row>
    <row r="293" spans="2:29" ht="13.5" customHeight="1">
      <c r="B293" s="98" t="str">
        <f>CONCATENATE("- Nr Dias: ",INFO!$C$20)</f>
        <v>- Nr Dias: 33</v>
      </c>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c r="AA293" s="121"/>
      <c r="AB293" s="121"/>
    </row>
    <row r="294" spans="2:29" ht="13.5" customHeight="1">
      <c r="B294" s="98" t="e">
        <f>CONCATENATE("- Valor Estimado: R$ ",INDEX(QSGR!$J$16:$J$11170,AC287))</f>
        <v>#N/A</v>
      </c>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c r="AA294" s="121"/>
      <c r="AB294" s="121"/>
    </row>
    <row r="295" spans="2:29" ht="13.5" customHeight="1">
      <c r="B295" s="100"/>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c r="AA295" s="121"/>
      <c r="AB295" s="121"/>
    </row>
    <row r="296" spans="2:29" ht="13.5" customHeight="1">
      <c r="B296" s="98" t="s">
        <v>55</v>
      </c>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c r="AA296" s="121"/>
      <c r="AB296" s="121"/>
      <c r="AC296" s="37">
        <f>AC287+1</f>
        <v>33</v>
      </c>
    </row>
    <row r="297" spans="2:29" ht="13.5" customHeight="1">
      <c r="B297" s="99">
        <f>INDEX(QSGR!$B$16:$B$1570,AC296)</f>
        <v>0</v>
      </c>
      <c r="C297" s="121"/>
      <c r="D297" s="121"/>
      <c r="E297" s="97">
        <f>INDEX(QSGR!$D$16:$D$11170,AC296)</f>
        <v>0</v>
      </c>
      <c r="F297" s="121"/>
      <c r="G297" s="121"/>
      <c r="H297" s="121"/>
      <c r="I297" s="121"/>
      <c r="J297" s="121"/>
      <c r="K297" s="121"/>
      <c r="L297" s="121"/>
      <c r="M297" s="121"/>
      <c r="N297" s="121"/>
      <c r="O297" s="121"/>
      <c r="P297" s="121"/>
      <c r="Q297" s="121"/>
      <c r="R297" s="121"/>
      <c r="S297" s="121"/>
      <c r="T297" s="121"/>
      <c r="U297" s="121"/>
      <c r="V297" s="121"/>
      <c r="W297" s="121"/>
      <c r="X297" s="121"/>
      <c r="Y297" s="121"/>
      <c r="Z297" s="121"/>
      <c r="AA297" s="121"/>
      <c r="AB297" s="121"/>
    </row>
    <row r="298" spans="2:29" ht="13.5" customHeight="1">
      <c r="B298" s="96" t="str">
        <f>CONCATENATE("- Evento: ",INFO!$B$22)</f>
        <v>- Evento: PARTICIPAR DA OPERAÇÃO HORUS.</v>
      </c>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c r="AA298" s="121"/>
      <c r="AB298" s="121"/>
    </row>
    <row r="299" spans="2:29" ht="13.5" customHeight="1">
      <c r="B299" s="98" t="str">
        <f>CONCATENATE("- Documento de Solicitação: ",INFO!$B$24)</f>
        <v>- Documento de Solicitação: TESTE AZUL</v>
      </c>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c r="AA299" s="121"/>
      <c r="AB299" s="121"/>
    </row>
    <row r="300" spans="2:29" ht="13.5" customHeight="1">
      <c r="B300" s="98" t="str">
        <f>CONCATENATE("- Local: ",INFO!$C$18)</f>
        <v>- Local: GUAIRA - PR</v>
      </c>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c r="AA300" s="121"/>
      <c r="AB300" s="121"/>
    </row>
    <row r="301" spans="2:29" ht="13.5" customHeight="1">
      <c r="B301" s="98" t="str">
        <f>CONCATENATE("- Periodo: ",INFO!$C$10," a ",INFO!$C$19)</f>
        <v xml:space="preserve">- Periodo: 22/7/2025  a 23/8/2025 </v>
      </c>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c r="AA301" s="121"/>
      <c r="AB301" s="121"/>
    </row>
    <row r="302" spans="2:29" ht="13.5" customHeight="1">
      <c r="B302" s="98" t="str">
        <f>CONCATENATE("- Nr Dias: ",INFO!$C$20)</f>
        <v>- Nr Dias: 33</v>
      </c>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c r="AA302" s="121"/>
      <c r="AB302" s="121"/>
    </row>
    <row r="303" spans="2:29" ht="13.5" customHeight="1">
      <c r="B303" s="98" t="e">
        <f>CONCATENATE("- Valor Estimado: R$ ",INDEX(QSGR!$J$16:$J$11170,AC296))</f>
        <v>#N/A</v>
      </c>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c r="AB303" s="121"/>
    </row>
    <row r="304" spans="2:29" ht="13.5" customHeight="1">
      <c r="B304" s="100"/>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c r="AA304" s="121"/>
      <c r="AB304" s="121"/>
    </row>
    <row r="305" spans="2:29" ht="13.5" customHeight="1">
      <c r="B305" s="98" t="s">
        <v>55</v>
      </c>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c r="AA305" s="121"/>
      <c r="AB305" s="121"/>
      <c r="AC305" s="37">
        <f>AC296+1</f>
        <v>34</v>
      </c>
    </row>
    <row r="306" spans="2:29" ht="13.5" customHeight="1">
      <c r="B306" s="99">
        <f>INDEX(QSGR!$B$16:$B$1570,AC305)</f>
        <v>0</v>
      </c>
      <c r="C306" s="121"/>
      <c r="D306" s="121"/>
      <c r="E306" s="97">
        <f>INDEX(QSGR!$D$16:$D$11170,AC305)</f>
        <v>0</v>
      </c>
      <c r="F306" s="121"/>
      <c r="G306" s="121"/>
      <c r="H306" s="121"/>
      <c r="I306" s="121"/>
      <c r="J306" s="121"/>
      <c r="K306" s="121"/>
      <c r="L306" s="121"/>
      <c r="M306" s="121"/>
      <c r="N306" s="121"/>
      <c r="O306" s="121"/>
      <c r="P306" s="121"/>
      <c r="Q306" s="121"/>
      <c r="R306" s="121"/>
      <c r="S306" s="121"/>
      <c r="T306" s="121"/>
      <c r="U306" s="121"/>
      <c r="V306" s="121"/>
      <c r="W306" s="121"/>
      <c r="X306" s="121"/>
      <c r="Y306" s="121"/>
      <c r="Z306" s="121"/>
      <c r="AA306" s="121"/>
      <c r="AB306" s="121"/>
    </row>
    <row r="307" spans="2:29" ht="13.5" customHeight="1">
      <c r="B307" s="96" t="str">
        <f>CONCATENATE("- Evento: ",INFO!$B$22)</f>
        <v>- Evento: PARTICIPAR DA OPERAÇÃO HORUS.</v>
      </c>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c r="AA307" s="121"/>
      <c r="AB307" s="121"/>
    </row>
    <row r="308" spans="2:29" ht="13.5" customHeight="1">
      <c r="B308" s="98" t="str">
        <f>CONCATENATE("- Documento de Solicitação: ",INFO!$B$24)</f>
        <v>- Documento de Solicitação: TESTE AZUL</v>
      </c>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c r="AA308" s="121"/>
      <c r="AB308" s="121"/>
    </row>
    <row r="309" spans="2:29" ht="13.5" customHeight="1">
      <c r="B309" s="98" t="str">
        <f>CONCATENATE("- Local: ",INFO!$C$18)</f>
        <v>- Local: GUAIRA - PR</v>
      </c>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c r="AA309" s="121"/>
      <c r="AB309" s="121"/>
    </row>
    <row r="310" spans="2:29" ht="13.5" customHeight="1">
      <c r="B310" s="98" t="str">
        <f>CONCATENATE("- Periodo: ",INFO!$C$10," a ",INFO!$C$19)</f>
        <v xml:space="preserve">- Periodo: 22/7/2025  a 23/8/2025 </v>
      </c>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c r="AA310" s="121"/>
      <c r="AB310" s="121"/>
    </row>
    <row r="311" spans="2:29" ht="13.5" customHeight="1">
      <c r="B311" s="98" t="str">
        <f>CONCATENATE("- Nr Dias: ",INFO!$C$20)</f>
        <v>- Nr Dias: 33</v>
      </c>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c r="AA311" s="121"/>
      <c r="AB311" s="121"/>
    </row>
    <row r="312" spans="2:29" ht="13.5" customHeight="1">
      <c r="B312" s="98" t="e">
        <f>CONCATENATE("- Valor Estimado: R$ ",INDEX(QSGR!$J$16:$J$11170,AC305))</f>
        <v>#N/A</v>
      </c>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c r="AA312" s="121"/>
      <c r="AB312" s="121"/>
    </row>
    <row r="313" spans="2:29" ht="13.5" customHeight="1">
      <c r="B313" s="100"/>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c r="AA313" s="121"/>
      <c r="AB313" s="121"/>
    </row>
    <row r="314" spans="2:29" ht="13.5" customHeight="1">
      <c r="B314" s="98" t="s">
        <v>55</v>
      </c>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c r="AA314" s="121"/>
      <c r="AB314" s="121"/>
      <c r="AC314" s="37">
        <f>AC305+1</f>
        <v>35</v>
      </c>
    </row>
    <row r="315" spans="2:29" ht="13.5" customHeight="1">
      <c r="B315" s="99">
        <f>INDEX(QSGR!$B$16:$B$1570,AC314)</f>
        <v>0</v>
      </c>
      <c r="C315" s="121"/>
      <c r="D315" s="121"/>
      <c r="E315" s="97">
        <f>INDEX(QSGR!$D$16:$D$11170,AC314)</f>
        <v>0</v>
      </c>
      <c r="F315" s="121"/>
      <c r="G315" s="121"/>
      <c r="H315" s="121"/>
      <c r="I315" s="121"/>
      <c r="J315" s="121"/>
      <c r="K315" s="121"/>
      <c r="L315" s="121"/>
      <c r="M315" s="121"/>
      <c r="N315" s="121"/>
      <c r="O315" s="121"/>
      <c r="P315" s="121"/>
      <c r="Q315" s="121"/>
      <c r="R315" s="121"/>
      <c r="S315" s="121"/>
      <c r="T315" s="121"/>
      <c r="U315" s="121"/>
      <c r="V315" s="121"/>
      <c r="W315" s="121"/>
      <c r="X315" s="121"/>
      <c r="Y315" s="121"/>
      <c r="Z315" s="121"/>
      <c r="AA315" s="121"/>
      <c r="AB315" s="121"/>
    </row>
    <row r="316" spans="2:29" ht="13.5" customHeight="1">
      <c r="B316" s="96" t="str">
        <f>CONCATENATE("- Evento: ",INFO!$B$22)</f>
        <v>- Evento: PARTICIPAR DA OPERAÇÃO HORUS.</v>
      </c>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c r="AA316" s="121"/>
      <c r="AB316" s="121"/>
    </row>
    <row r="317" spans="2:29" ht="13.5" customHeight="1">
      <c r="B317" s="98" t="str">
        <f>CONCATENATE("- Documento de Solicitação: ",INFO!$B$24)</f>
        <v>- Documento de Solicitação: TESTE AZUL</v>
      </c>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c r="AA317" s="121"/>
      <c r="AB317" s="121"/>
    </row>
    <row r="318" spans="2:29" ht="13.5" customHeight="1">
      <c r="B318" s="98" t="str">
        <f>CONCATENATE("- Local: ",INFO!$C$18)</f>
        <v>- Local: GUAIRA - PR</v>
      </c>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c r="AA318" s="121"/>
      <c r="AB318" s="121"/>
    </row>
    <row r="319" spans="2:29" ht="13.5" customHeight="1">
      <c r="B319" s="98" t="str">
        <f>CONCATENATE("- Periodo: ",INFO!$C$10," a ",INFO!$C$19)</f>
        <v xml:space="preserve">- Periodo: 22/7/2025  a 23/8/2025 </v>
      </c>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121"/>
    </row>
    <row r="320" spans="2:29" ht="13.5" customHeight="1">
      <c r="B320" s="98" t="str">
        <f>CONCATENATE("- Nr Dias: ",INFO!$C$20)</f>
        <v>- Nr Dias: 33</v>
      </c>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c r="AA320" s="121"/>
      <c r="AB320" s="121"/>
    </row>
    <row r="321" spans="2:29" ht="13.5" customHeight="1">
      <c r="B321" s="98" t="e">
        <f>CONCATENATE("- Valor Estimado: R$ ",INDEX(QSGR!$J$16:$J$11170,AC314))</f>
        <v>#N/A</v>
      </c>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c r="AA321" s="121"/>
      <c r="AB321" s="121"/>
    </row>
    <row r="322" spans="2:29" ht="13.5" customHeight="1">
      <c r="B322" s="100"/>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c r="AA322" s="121"/>
      <c r="AB322" s="121"/>
    </row>
    <row r="323" spans="2:29" ht="13.5" customHeight="1">
      <c r="B323" s="98" t="s">
        <v>55</v>
      </c>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c r="AA323" s="121"/>
      <c r="AB323" s="121"/>
      <c r="AC323" s="37">
        <f>AC314+1</f>
        <v>36</v>
      </c>
    </row>
    <row r="324" spans="2:29" ht="13.5" customHeight="1">
      <c r="B324" s="99">
        <f>INDEX(QSGR!$B$16:$B$1570,AC323)</f>
        <v>0</v>
      </c>
      <c r="C324" s="121"/>
      <c r="D324" s="121"/>
      <c r="E324" s="97">
        <f>INDEX(QSGR!$D$16:$D$11170,AC323)</f>
        <v>0</v>
      </c>
      <c r="F324" s="121"/>
      <c r="G324" s="121"/>
      <c r="H324" s="121"/>
      <c r="I324" s="121"/>
      <c r="J324" s="121"/>
      <c r="K324" s="121"/>
      <c r="L324" s="121"/>
      <c r="M324" s="121"/>
      <c r="N324" s="121"/>
      <c r="O324" s="121"/>
      <c r="P324" s="121"/>
      <c r="Q324" s="121"/>
      <c r="R324" s="121"/>
      <c r="S324" s="121"/>
      <c r="T324" s="121"/>
      <c r="U324" s="121"/>
      <c r="V324" s="121"/>
      <c r="W324" s="121"/>
      <c r="X324" s="121"/>
      <c r="Y324" s="121"/>
      <c r="Z324" s="121"/>
      <c r="AA324" s="121"/>
      <c r="AB324" s="121"/>
    </row>
    <row r="325" spans="2:29" ht="13.5" customHeight="1">
      <c r="B325" s="96" t="str">
        <f>CONCATENATE("- Evento: ",INFO!$B$22)</f>
        <v>- Evento: PARTICIPAR DA OPERAÇÃO HORUS.</v>
      </c>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c r="AA325" s="121"/>
      <c r="AB325" s="121"/>
    </row>
    <row r="326" spans="2:29" ht="13.5" customHeight="1">
      <c r="B326" s="98" t="str">
        <f>CONCATENATE("- Documento de Solicitação: ",INFO!$B$24)</f>
        <v>- Documento de Solicitação: TESTE AZUL</v>
      </c>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c r="AA326" s="121"/>
      <c r="AB326" s="121"/>
    </row>
    <row r="327" spans="2:29" ht="13.5" customHeight="1">
      <c r="B327" s="98" t="str">
        <f>CONCATENATE("- Local: ",INFO!$C$18)</f>
        <v>- Local: GUAIRA - PR</v>
      </c>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c r="AA327" s="121"/>
      <c r="AB327" s="121"/>
    </row>
    <row r="328" spans="2:29" ht="13.5" customHeight="1">
      <c r="B328" s="98" t="str">
        <f>CONCATENATE("- Periodo: ",INFO!$C$10," a ",INFO!$C$19)</f>
        <v xml:space="preserve">- Periodo: 22/7/2025  a 23/8/2025 </v>
      </c>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c r="AA328" s="121"/>
      <c r="AB328" s="121"/>
    </row>
    <row r="329" spans="2:29" ht="13.5" customHeight="1">
      <c r="B329" s="98" t="str">
        <f>CONCATENATE("- Nr Dias: ",INFO!$C$20)</f>
        <v>- Nr Dias: 33</v>
      </c>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c r="AA329" s="121"/>
      <c r="AB329" s="121"/>
    </row>
    <row r="330" spans="2:29" ht="13.5" customHeight="1">
      <c r="B330" s="98" t="e">
        <f>CONCATENATE("- Valor Estimado: R$ ",INDEX(QSGR!$J$16:$J$11170,AC323))</f>
        <v>#N/A</v>
      </c>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c r="AB330" s="121"/>
    </row>
    <row r="331" spans="2:29" ht="13.5" customHeight="1">
      <c r="B331" s="100"/>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c r="AA331" s="121"/>
      <c r="AB331" s="121"/>
    </row>
    <row r="332" spans="2:29" ht="13.5" customHeight="1">
      <c r="B332" s="98" t="s">
        <v>55</v>
      </c>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c r="AB332" s="121"/>
      <c r="AC332" s="37">
        <f>AC323+1</f>
        <v>37</v>
      </c>
    </row>
    <row r="333" spans="2:29" ht="13.5" customHeight="1">
      <c r="B333" s="99">
        <f>INDEX(QSGR!$B$16:$B$1570,AC332)</f>
        <v>0</v>
      </c>
      <c r="C333" s="121"/>
      <c r="D333" s="121"/>
      <c r="E333" s="97">
        <f>INDEX(QSGR!$D$16:$D$11170,AC332)</f>
        <v>0</v>
      </c>
      <c r="F333" s="121"/>
      <c r="G333" s="121"/>
      <c r="H333" s="121"/>
      <c r="I333" s="121"/>
      <c r="J333" s="121"/>
      <c r="K333" s="121"/>
      <c r="L333" s="121"/>
      <c r="M333" s="121"/>
      <c r="N333" s="121"/>
      <c r="O333" s="121"/>
      <c r="P333" s="121"/>
      <c r="Q333" s="121"/>
      <c r="R333" s="121"/>
      <c r="S333" s="121"/>
      <c r="T333" s="121"/>
      <c r="U333" s="121"/>
      <c r="V333" s="121"/>
      <c r="W333" s="121"/>
      <c r="X333" s="121"/>
      <c r="Y333" s="121"/>
      <c r="Z333" s="121"/>
      <c r="AA333" s="121"/>
      <c r="AB333" s="121"/>
    </row>
    <row r="334" spans="2:29" ht="13.5" customHeight="1">
      <c r="B334" s="96" t="str">
        <f>CONCATENATE("- Evento: ",INFO!$B$22)</f>
        <v>- Evento: PARTICIPAR DA OPERAÇÃO HORUS.</v>
      </c>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c r="AA334" s="121"/>
      <c r="AB334" s="121"/>
    </row>
    <row r="335" spans="2:29" ht="13.5" customHeight="1">
      <c r="B335" s="98" t="str">
        <f>CONCATENATE("- Documento de Solicitação: ",INFO!$B$24)</f>
        <v>- Documento de Solicitação: TESTE AZUL</v>
      </c>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121"/>
    </row>
    <row r="336" spans="2:29" ht="13.5" customHeight="1">
      <c r="B336" s="98" t="str">
        <f>CONCATENATE("- Local: ",INFO!$C$18)</f>
        <v>- Local: GUAIRA - PR</v>
      </c>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c r="AB336" s="121"/>
    </row>
    <row r="337" spans="2:29" ht="13.5" customHeight="1">
      <c r="B337" s="98" t="str">
        <f>CONCATENATE("- Periodo: ",INFO!$C$10," a ",INFO!$C$19)</f>
        <v xml:space="preserve">- Periodo: 22/7/2025  a 23/8/2025 </v>
      </c>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c r="AA337" s="121"/>
      <c r="AB337" s="121"/>
    </row>
    <row r="338" spans="2:29" ht="13.5" customHeight="1">
      <c r="B338" s="98" t="str">
        <f>CONCATENATE("- Nr Dias: ",INFO!$C$20)</f>
        <v>- Nr Dias: 33</v>
      </c>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c r="AA338" s="121"/>
      <c r="AB338" s="121"/>
    </row>
    <row r="339" spans="2:29" ht="13.5" customHeight="1">
      <c r="B339" s="98" t="e">
        <f>CONCATENATE("- Valor Estimado: R$ ",INDEX(QSGR!$J$16:$J$11170,AC332))</f>
        <v>#N/A</v>
      </c>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c r="AA339" s="121"/>
      <c r="AB339" s="121"/>
    </row>
    <row r="340" spans="2:29" ht="13.5" customHeight="1">
      <c r="B340" s="100"/>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c r="AB340" s="121"/>
    </row>
    <row r="341" spans="2:29" ht="13.5" customHeight="1">
      <c r="B341" s="98" t="s">
        <v>55</v>
      </c>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37">
        <f>AC332+1</f>
        <v>38</v>
      </c>
    </row>
    <row r="342" spans="2:29" ht="13.5" customHeight="1">
      <c r="B342" s="99">
        <f>INDEX(QSGR!$B$16:$B$1570,AC341)</f>
        <v>0</v>
      </c>
      <c r="C342" s="121"/>
      <c r="D342" s="121"/>
      <c r="E342" s="97">
        <f>INDEX(QSGR!$D$16:$D$11170,AC341)</f>
        <v>0</v>
      </c>
      <c r="F342" s="121"/>
      <c r="G342" s="121"/>
      <c r="H342" s="121"/>
      <c r="I342" s="121"/>
      <c r="J342" s="121"/>
      <c r="K342" s="121"/>
      <c r="L342" s="121"/>
      <c r="M342" s="121"/>
      <c r="N342" s="121"/>
      <c r="O342" s="121"/>
      <c r="P342" s="121"/>
      <c r="Q342" s="121"/>
      <c r="R342" s="121"/>
      <c r="S342" s="121"/>
      <c r="T342" s="121"/>
      <c r="U342" s="121"/>
      <c r="V342" s="121"/>
      <c r="W342" s="121"/>
      <c r="X342" s="121"/>
      <c r="Y342" s="121"/>
      <c r="Z342" s="121"/>
      <c r="AA342" s="121"/>
      <c r="AB342" s="121"/>
    </row>
    <row r="343" spans="2:29" ht="13.5" customHeight="1">
      <c r="B343" s="96" t="str">
        <f>CONCATENATE("- Evento: ",INFO!$B$22)</f>
        <v>- Evento: PARTICIPAR DA OPERAÇÃO HORUS.</v>
      </c>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c r="AB343" s="121"/>
    </row>
    <row r="344" spans="2:29" ht="13.5" customHeight="1">
      <c r="B344" s="98" t="str">
        <f>CONCATENATE("- Documento de Solicitação: ",INFO!$B$24)</f>
        <v>- Documento de Solicitação: TESTE AZUL</v>
      </c>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c r="AA344" s="121"/>
      <c r="AB344" s="121"/>
    </row>
    <row r="345" spans="2:29" ht="13.5" customHeight="1">
      <c r="B345" s="98" t="str">
        <f>CONCATENATE("- Local: ",INFO!$C$18)</f>
        <v>- Local: GUAIRA - PR</v>
      </c>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row>
    <row r="346" spans="2:29" ht="13.5" customHeight="1">
      <c r="B346" s="98" t="str">
        <f>CONCATENATE("- Periodo: ",INFO!$C$10," a ",INFO!$C$19)</f>
        <v xml:space="preserve">- Periodo: 22/7/2025  a 23/8/2025 </v>
      </c>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c r="AA346" s="121"/>
      <c r="AB346" s="121"/>
    </row>
    <row r="347" spans="2:29" ht="13.5" customHeight="1">
      <c r="B347" s="98" t="str">
        <f>CONCATENATE("- Nr Dias: ",INFO!$C$20)</f>
        <v>- Nr Dias: 33</v>
      </c>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c r="AA347" s="121"/>
      <c r="AB347" s="121"/>
    </row>
    <row r="348" spans="2:29" ht="13.5" customHeight="1">
      <c r="B348" s="98" t="e">
        <f>CONCATENATE("- Valor Estimado: R$ ",INDEX(QSGR!$J$16:$J$11170,AC341))</f>
        <v>#N/A</v>
      </c>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c r="AA348" s="121"/>
      <c r="AB348" s="121"/>
    </row>
    <row r="349" spans="2:29" ht="13.5" customHeight="1">
      <c r="B349" s="100"/>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c r="AA349" s="121"/>
      <c r="AB349" s="121"/>
    </row>
    <row r="350" spans="2:29" ht="13.5" customHeight="1">
      <c r="B350" s="98" t="s">
        <v>55</v>
      </c>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c r="AA350" s="121"/>
      <c r="AB350" s="121"/>
      <c r="AC350" s="37">
        <f>AC341+1</f>
        <v>39</v>
      </c>
    </row>
    <row r="351" spans="2:29" ht="13.5" customHeight="1">
      <c r="B351" s="99">
        <f>INDEX(QSGR!$B$16:$B$1570,AC350)</f>
        <v>0</v>
      </c>
      <c r="C351" s="121"/>
      <c r="D351" s="121"/>
      <c r="E351" s="97">
        <f>INDEX(QSGR!$D$16:$D$11170,AC350)</f>
        <v>0</v>
      </c>
      <c r="F351" s="121"/>
      <c r="G351" s="121"/>
      <c r="H351" s="121"/>
      <c r="I351" s="121"/>
      <c r="J351" s="121"/>
      <c r="K351" s="121"/>
      <c r="L351" s="121"/>
      <c r="M351" s="121"/>
      <c r="N351" s="121"/>
      <c r="O351" s="121"/>
      <c r="P351" s="121"/>
      <c r="Q351" s="121"/>
      <c r="R351" s="121"/>
      <c r="S351" s="121"/>
      <c r="T351" s="121"/>
      <c r="U351" s="121"/>
      <c r="V351" s="121"/>
      <c r="W351" s="121"/>
      <c r="X351" s="121"/>
      <c r="Y351" s="121"/>
      <c r="Z351" s="121"/>
      <c r="AA351" s="121"/>
      <c r="AB351" s="121"/>
    </row>
    <row r="352" spans="2:29" ht="13.5" customHeight="1">
      <c r="B352" s="96" t="str">
        <f>CONCATENATE("- Evento: ",INFO!$B$22)</f>
        <v>- Evento: PARTICIPAR DA OPERAÇÃO HORUS.</v>
      </c>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c r="AA352" s="121"/>
      <c r="AB352" s="121"/>
    </row>
    <row r="353" spans="2:29" ht="13.5" customHeight="1">
      <c r="B353" s="98" t="str">
        <f>CONCATENATE("- Documento de Solicitação: ",INFO!$B$24)</f>
        <v>- Documento de Solicitação: TESTE AZUL</v>
      </c>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c r="AA353" s="121"/>
      <c r="AB353" s="121"/>
    </row>
    <row r="354" spans="2:29" ht="13.5" customHeight="1">
      <c r="B354" s="98" t="str">
        <f>CONCATENATE("- Local: ",INFO!$C$18)</f>
        <v>- Local: GUAIRA - PR</v>
      </c>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c r="AA354" s="121"/>
      <c r="AB354" s="121"/>
    </row>
    <row r="355" spans="2:29" ht="13.5" customHeight="1">
      <c r="B355" s="98" t="str">
        <f>CONCATENATE("- Periodo: ",INFO!$C$10," a ",INFO!$C$19)</f>
        <v xml:space="preserve">- Periodo: 22/7/2025  a 23/8/2025 </v>
      </c>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c r="AA355" s="121"/>
      <c r="AB355" s="121"/>
    </row>
    <row r="356" spans="2:29" ht="13.5" customHeight="1">
      <c r="B356" s="98" t="str">
        <f>CONCATENATE("- Nr Dias: ",INFO!$C$20)</f>
        <v>- Nr Dias: 33</v>
      </c>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c r="AA356" s="121"/>
      <c r="AB356" s="121"/>
    </row>
    <row r="357" spans="2:29" ht="13.5" customHeight="1">
      <c r="B357" s="98" t="e">
        <f>CONCATENATE("- Valor Estimado: R$ ",INDEX(QSGR!$J$16:$J$11170,AC350))</f>
        <v>#N/A</v>
      </c>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c r="AA357" s="121"/>
      <c r="AB357" s="121"/>
    </row>
    <row r="358" spans="2:29" ht="13.5" customHeight="1">
      <c r="B358" s="100"/>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c r="AA358" s="121"/>
      <c r="AB358" s="121"/>
    </row>
    <row r="359" spans="2:29" ht="13.5" customHeight="1">
      <c r="B359" s="98" t="s">
        <v>55</v>
      </c>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c r="AA359" s="121"/>
      <c r="AB359" s="121"/>
      <c r="AC359" s="37">
        <f>AC350+1</f>
        <v>40</v>
      </c>
    </row>
    <row r="360" spans="2:29" ht="13.5" customHeight="1">
      <c r="B360" s="99">
        <f>INDEX(QSGR!$B$16:$B$1570,AC359)</f>
        <v>0</v>
      </c>
      <c r="C360" s="121"/>
      <c r="D360" s="121"/>
      <c r="E360" s="97">
        <f>INDEX(QSGR!$D$16:$D$11170,AC359)</f>
        <v>0</v>
      </c>
      <c r="F360" s="121"/>
      <c r="G360" s="121"/>
      <c r="H360" s="121"/>
      <c r="I360" s="121"/>
      <c r="J360" s="121"/>
      <c r="K360" s="121"/>
      <c r="L360" s="121"/>
      <c r="M360" s="121"/>
      <c r="N360" s="121"/>
      <c r="O360" s="121"/>
      <c r="P360" s="121"/>
      <c r="Q360" s="121"/>
      <c r="R360" s="121"/>
      <c r="S360" s="121"/>
      <c r="T360" s="121"/>
      <c r="U360" s="121"/>
      <c r="V360" s="121"/>
      <c r="W360" s="121"/>
      <c r="X360" s="121"/>
      <c r="Y360" s="121"/>
      <c r="Z360" s="121"/>
      <c r="AA360" s="121"/>
      <c r="AB360" s="121"/>
    </row>
    <row r="361" spans="2:29" ht="13.5" customHeight="1">
      <c r="B361" s="96" t="str">
        <f>CONCATENATE("- Evento: ",INFO!$B$22)</f>
        <v>- Evento: PARTICIPAR DA OPERAÇÃO HORUS.</v>
      </c>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c r="AA361" s="121"/>
      <c r="AB361" s="121"/>
    </row>
    <row r="362" spans="2:29" ht="13.5" customHeight="1">
      <c r="B362" s="98" t="str">
        <f>CONCATENATE("- Documento de Solicitação: ",INFO!$B$24)</f>
        <v>- Documento de Solicitação: TESTE AZUL</v>
      </c>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c r="AA362" s="121"/>
      <c r="AB362" s="121"/>
    </row>
    <row r="363" spans="2:29" ht="13.5" customHeight="1">
      <c r="B363" s="98" t="str">
        <f>CONCATENATE("- Local: ",INFO!$C$18)</f>
        <v>- Local: GUAIRA - PR</v>
      </c>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c r="AA363" s="121"/>
      <c r="AB363" s="121"/>
    </row>
    <row r="364" spans="2:29" ht="13.5" customHeight="1">
      <c r="B364" s="98" t="str">
        <f>CONCATENATE("- Periodo: ",INFO!$C$10," a ",INFO!$C$19)</f>
        <v xml:space="preserve">- Periodo: 22/7/2025  a 23/8/2025 </v>
      </c>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c r="AA364" s="121"/>
      <c r="AB364" s="121"/>
    </row>
    <row r="365" spans="2:29" ht="13.5" customHeight="1">
      <c r="B365" s="98" t="str">
        <f>CONCATENATE("- Nr Dias: ",INFO!$C$20)</f>
        <v>- Nr Dias: 33</v>
      </c>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c r="AA365" s="121"/>
      <c r="AB365" s="121"/>
    </row>
    <row r="366" spans="2:29" ht="13.5" customHeight="1">
      <c r="B366" s="98" t="e">
        <f>CONCATENATE("- Valor Estimado: R$ ",INDEX(QSGR!$J$16:$J$11170,AC359))</f>
        <v>#N/A</v>
      </c>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1"/>
      <c r="AB366" s="121"/>
    </row>
    <row r="367" spans="2:29" ht="13.5" customHeight="1">
      <c r="B367" s="100"/>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1"/>
      <c r="AB367" s="121"/>
    </row>
    <row r="368" spans="2:29" ht="13.5" customHeight="1">
      <c r="B368" s="98" t="s">
        <v>55</v>
      </c>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1"/>
      <c r="AB368" s="121"/>
      <c r="AC368" s="37">
        <f>AC359+1</f>
        <v>41</v>
      </c>
    </row>
    <row r="369" spans="2:29" ht="13.5" customHeight="1">
      <c r="B369" s="99">
        <f>INDEX(QSGR!$B$16:$B$1570,AC368)</f>
        <v>0</v>
      </c>
      <c r="C369" s="121"/>
      <c r="D369" s="121"/>
      <c r="E369" s="97">
        <f>INDEX(QSGR!$D$16:$D$11170,AC368)</f>
        <v>0</v>
      </c>
      <c r="F369" s="121"/>
      <c r="G369" s="121"/>
      <c r="H369" s="121"/>
      <c r="I369" s="121"/>
      <c r="J369" s="121"/>
      <c r="K369" s="121"/>
      <c r="L369" s="121"/>
      <c r="M369" s="121"/>
      <c r="N369" s="121"/>
      <c r="O369" s="121"/>
      <c r="P369" s="121"/>
      <c r="Q369" s="121"/>
      <c r="R369" s="121"/>
      <c r="S369" s="121"/>
      <c r="T369" s="121"/>
      <c r="U369" s="121"/>
      <c r="V369" s="121"/>
      <c r="W369" s="121"/>
      <c r="X369" s="121"/>
      <c r="Y369" s="121"/>
      <c r="Z369" s="121"/>
      <c r="AA369" s="121"/>
      <c r="AB369" s="121"/>
    </row>
    <row r="370" spans="2:29" ht="13.5" customHeight="1">
      <c r="B370" s="96" t="str">
        <f>CONCATENATE("- Evento: ",INFO!$B$22)</f>
        <v>- Evento: PARTICIPAR DA OPERAÇÃO HORUS.</v>
      </c>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c r="AA370" s="121"/>
      <c r="AB370" s="121"/>
    </row>
    <row r="371" spans="2:29" ht="13.5" customHeight="1">
      <c r="B371" s="98" t="str">
        <f>CONCATENATE("- Documento de Solicitação: ",INFO!$B$24)</f>
        <v>- Documento de Solicitação: TESTE AZUL</v>
      </c>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c r="AA371" s="121"/>
      <c r="AB371" s="121"/>
    </row>
    <row r="372" spans="2:29" ht="13.5" customHeight="1">
      <c r="B372" s="98" t="str">
        <f>CONCATENATE("- Local: ",INFO!$C$18)</f>
        <v>- Local: GUAIRA - PR</v>
      </c>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c r="AA372" s="121"/>
      <c r="AB372" s="121"/>
    </row>
    <row r="373" spans="2:29" ht="13.5" customHeight="1">
      <c r="B373" s="98" t="str">
        <f>CONCATENATE("- Periodo: ",INFO!$C$10," a ",INFO!$C$19)</f>
        <v xml:space="preserve">- Periodo: 22/7/2025  a 23/8/2025 </v>
      </c>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c r="AA373" s="121"/>
      <c r="AB373" s="121"/>
    </row>
    <row r="374" spans="2:29" ht="13.5" customHeight="1">
      <c r="B374" s="98" t="str">
        <f>CONCATENATE("- Nr Dias: ",INFO!$C$20)</f>
        <v>- Nr Dias: 33</v>
      </c>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c r="AA374" s="121"/>
      <c r="AB374" s="121"/>
    </row>
    <row r="375" spans="2:29" ht="13.5" customHeight="1">
      <c r="B375" s="98" t="e">
        <f>CONCATENATE("- Valor Estimado: R$ ",INDEX(QSGR!$J$16:$J$11170,AC368))</f>
        <v>#N/A</v>
      </c>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c r="AA375" s="121"/>
      <c r="AB375" s="121"/>
    </row>
    <row r="376" spans="2:29" ht="13.5" customHeight="1">
      <c r="B376" s="100"/>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c r="AA376" s="121"/>
      <c r="AB376" s="121"/>
    </row>
    <row r="377" spans="2:29" ht="13.5" customHeight="1">
      <c r="B377" s="98" t="s">
        <v>55</v>
      </c>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c r="AA377" s="121"/>
      <c r="AB377" s="121"/>
      <c r="AC377" s="37">
        <f>AC368+1</f>
        <v>42</v>
      </c>
    </row>
    <row r="378" spans="2:29" ht="13.5" customHeight="1">
      <c r="B378" s="99">
        <f>INDEX(QSGR!$B$16:$B$1570,AC377)</f>
        <v>0</v>
      </c>
      <c r="C378" s="121"/>
      <c r="D378" s="121"/>
      <c r="E378" s="97">
        <f>INDEX(QSGR!$D$16:$D$11170,AC377)</f>
        <v>0</v>
      </c>
      <c r="F378" s="121"/>
      <c r="G378" s="121"/>
      <c r="H378" s="121"/>
      <c r="I378" s="121"/>
      <c r="J378" s="121"/>
      <c r="K378" s="121"/>
      <c r="L378" s="121"/>
      <c r="M378" s="121"/>
      <c r="N378" s="121"/>
      <c r="O378" s="121"/>
      <c r="P378" s="121"/>
      <c r="Q378" s="121"/>
      <c r="R378" s="121"/>
      <c r="S378" s="121"/>
      <c r="T378" s="121"/>
      <c r="U378" s="121"/>
      <c r="V378" s="121"/>
      <c r="W378" s="121"/>
      <c r="X378" s="121"/>
      <c r="Y378" s="121"/>
      <c r="Z378" s="121"/>
      <c r="AA378" s="121"/>
      <c r="AB378" s="121"/>
    </row>
    <row r="379" spans="2:29" ht="13.5" customHeight="1">
      <c r="B379" s="96" t="str">
        <f>CONCATENATE("- Evento: ",INFO!$B$22)</f>
        <v>- Evento: PARTICIPAR DA OPERAÇÃO HORUS.</v>
      </c>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c r="AA379" s="121"/>
      <c r="AB379" s="121"/>
    </row>
    <row r="380" spans="2:29" ht="13.5" customHeight="1">
      <c r="B380" s="98" t="str">
        <f>CONCATENATE("- Documento de Solicitação: ",INFO!$B$24)</f>
        <v>- Documento de Solicitação: TESTE AZUL</v>
      </c>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c r="AA380" s="121"/>
      <c r="AB380" s="121"/>
    </row>
    <row r="381" spans="2:29" ht="13.5" customHeight="1">
      <c r="B381" s="98" t="str">
        <f>CONCATENATE("- Local: ",INFO!$C$18)</f>
        <v>- Local: GUAIRA - PR</v>
      </c>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c r="AA381" s="121"/>
      <c r="AB381" s="121"/>
    </row>
    <row r="382" spans="2:29" ht="13.5" customHeight="1">
      <c r="B382" s="98" t="str">
        <f>CONCATENATE("- Periodo: ",INFO!$C$10," a ",INFO!$C$19)</f>
        <v xml:space="preserve">- Periodo: 22/7/2025  a 23/8/2025 </v>
      </c>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c r="AA382" s="121"/>
      <c r="AB382" s="121"/>
    </row>
    <row r="383" spans="2:29" ht="13.5" customHeight="1">
      <c r="B383" s="98" t="str">
        <f>CONCATENATE("- Nr Dias: ",INFO!$C$20)</f>
        <v>- Nr Dias: 33</v>
      </c>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c r="AA383" s="121"/>
      <c r="AB383" s="121"/>
    </row>
    <row r="384" spans="2:29" ht="13.5" customHeight="1">
      <c r="B384" s="98" t="e">
        <f>CONCATENATE("- Valor Estimado: R$ ",INDEX(QSGR!$J$16:$J$11170,AC377))</f>
        <v>#N/A</v>
      </c>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c r="AA384" s="121"/>
      <c r="AB384" s="121"/>
    </row>
    <row r="385" spans="2:29" ht="13.5" customHeight="1">
      <c r="B385" s="100"/>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c r="AA385" s="121"/>
      <c r="AB385" s="121"/>
    </row>
    <row r="386" spans="2:29" ht="13.5" customHeight="1">
      <c r="B386" s="98" t="s">
        <v>55</v>
      </c>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c r="AA386" s="121"/>
      <c r="AB386" s="121"/>
      <c r="AC386" s="37">
        <f>AC377+1</f>
        <v>43</v>
      </c>
    </row>
    <row r="387" spans="2:29" ht="13.5" customHeight="1">
      <c r="B387" s="99">
        <f>INDEX(QSGR!$B$16:$B$1570,AC386)</f>
        <v>0</v>
      </c>
      <c r="C387" s="121"/>
      <c r="D387" s="121"/>
      <c r="E387" s="97">
        <f>INDEX(QSGR!$D$16:$D$11170,AC386)</f>
        <v>0</v>
      </c>
      <c r="F387" s="121"/>
      <c r="G387" s="121"/>
      <c r="H387" s="121"/>
      <c r="I387" s="121"/>
      <c r="J387" s="121"/>
      <c r="K387" s="121"/>
      <c r="L387" s="121"/>
      <c r="M387" s="121"/>
      <c r="N387" s="121"/>
      <c r="O387" s="121"/>
      <c r="P387" s="121"/>
      <c r="Q387" s="121"/>
      <c r="R387" s="121"/>
      <c r="S387" s="121"/>
      <c r="T387" s="121"/>
      <c r="U387" s="121"/>
      <c r="V387" s="121"/>
      <c r="W387" s="121"/>
      <c r="X387" s="121"/>
      <c r="Y387" s="121"/>
      <c r="Z387" s="121"/>
      <c r="AA387" s="121"/>
      <c r="AB387" s="121"/>
    </row>
    <row r="388" spans="2:29" ht="13.5" customHeight="1">
      <c r="B388" s="96" t="str">
        <f>CONCATENATE("- Evento: ",INFO!$B$22)</f>
        <v>- Evento: PARTICIPAR DA OPERAÇÃO HORUS.</v>
      </c>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c r="AA388" s="121"/>
      <c r="AB388" s="121"/>
    </row>
    <row r="389" spans="2:29" ht="13.5" customHeight="1">
      <c r="B389" s="98" t="str">
        <f>CONCATENATE("- Documento de Solicitação: ",INFO!$B$24)</f>
        <v>- Documento de Solicitação: TESTE AZUL</v>
      </c>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c r="AA389" s="121"/>
      <c r="AB389" s="121"/>
    </row>
    <row r="390" spans="2:29" ht="13.5" customHeight="1">
      <c r="B390" s="98" t="str">
        <f>CONCATENATE("- Local: ",INFO!$C$18)</f>
        <v>- Local: GUAIRA - PR</v>
      </c>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c r="AA390" s="121"/>
      <c r="AB390" s="121"/>
    </row>
    <row r="391" spans="2:29" ht="13.5" customHeight="1">
      <c r="B391" s="98" t="str">
        <f>CONCATENATE("- Periodo: ",INFO!$C$10," a ",INFO!$C$19)</f>
        <v xml:space="preserve">- Periodo: 22/7/2025  a 23/8/2025 </v>
      </c>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c r="AA391" s="121"/>
      <c r="AB391" s="121"/>
    </row>
    <row r="392" spans="2:29" ht="13.5" customHeight="1">
      <c r="B392" s="98" t="str">
        <f>CONCATENATE("- Nr Dias: ",INFO!$C$20)</f>
        <v>- Nr Dias: 33</v>
      </c>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c r="AA392" s="121"/>
      <c r="AB392" s="121"/>
    </row>
    <row r="393" spans="2:29" ht="13.5" customHeight="1">
      <c r="B393" s="98" t="e">
        <f>CONCATENATE("- Valor Estimado: R$ ",INDEX(QSGR!$J$16:$J$11170,AC386))</f>
        <v>#N/A</v>
      </c>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c r="AA393" s="121"/>
      <c r="AB393" s="121"/>
    </row>
    <row r="394" spans="2:29" ht="13.5" customHeight="1">
      <c r="B394" s="100"/>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c r="AA394" s="121"/>
      <c r="AB394" s="121"/>
    </row>
    <row r="395" spans="2:29" ht="13.5" customHeight="1">
      <c r="B395" s="98" t="s">
        <v>55</v>
      </c>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c r="AA395" s="121"/>
      <c r="AB395" s="121"/>
      <c r="AC395" s="37">
        <f>AC386+1</f>
        <v>44</v>
      </c>
    </row>
    <row r="396" spans="2:29" ht="13.5" customHeight="1">
      <c r="B396" s="99">
        <f>INDEX(QSGR!$B$16:$B$1570,AC395)</f>
        <v>0</v>
      </c>
      <c r="C396" s="121"/>
      <c r="D396" s="121"/>
      <c r="E396" s="97">
        <f>INDEX(QSGR!$D$16:$D$11170,AC395)</f>
        <v>0</v>
      </c>
      <c r="F396" s="121"/>
      <c r="G396" s="121"/>
      <c r="H396" s="121"/>
      <c r="I396" s="121"/>
      <c r="J396" s="121"/>
      <c r="K396" s="121"/>
      <c r="L396" s="121"/>
      <c r="M396" s="121"/>
      <c r="N396" s="121"/>
      <c r="O396" s="121"/>
      <c r="P396" s="121"/>
      <c r="Q396" s="121"/>
      <c r="R396" s="121"/>
      <c r="S396" s="121"/>
      <c r="T396" s="121"/>
      <c r="U396" s="121"/>
      <c r="V396" s="121"/>
      <c r="W396" s="121"/>
      <c r="X396" s="121"/>
      <c r="Y396" s="121"/>
      <c r="Z396" s="121"/>
      <c r="AA396" s="121"/>
      <c r="AB396" s="121"/>
    </row>
    <row r="397" spans="2:29" ht="13.5" customHeight="1">
      <c r="B397" s="96" t="str">
        <f>CONCATENATE("- Evento: ",INFO!$B$22)</f>
        <v>- Evento: PARTICIPAR DA OPERAÇÃO HORUS.</v>
      </c>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c r="AA397" s="121"/>
      <c r="AB397" s="121"/>
    </row>
    <row r="398" spans="2:29" ht="13.5" customHeight="1">
      <c r="B398" s="98" t="str">
        <f>CONCATENATE("- Documento de Solicitação: ",INFO!$B$24)</f>
        <v>- Documento de Solicitação: TESTE AZUL</v>
      </c>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c r="AA398" s="121"/>
      <c r="AB398" s="121"/>
    </row>
    <row r="399" spans="2:29" ht="13.5" customHeight="1">
      <c r="B399" s="98" t="str">
        <f>CONCATENATE("- Local: ",INFO!$C$18)</f>
        <v>- Local: GUAIRA - PR</v>
      </c>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c r="AA399" s="121"/>
      <c r="AB399" s="121"/>
    </row>
    <row r="400" spans="2:29" ht="13.5" customHeight="1">
      <c r="B400" s="98" t="str">
        <f>CONCATENATE("- Periodo: ",INFO!$C$10," a ",INFO!$C$19)</f>
        <v xml:space="preserve">- Periodo: 22/7/2025  a 23/8/2025 </v>
      </c>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c r="AA400" s="121"/>
      <c r="AB400" s="121"/>
    </row>
    <row r="401" spans="2:29" ht="13.5" customHeight="1">
      <c r="B401" s="98" t="str">
        <f>CONCATENATE("- Nr Dias: ",INFO!$C$20)</f>
        <v>- Nr Dias: 33</v>
      </c>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c r="AA401" s="121"/>
      <c r="AB401" s="121"/>
    </row>
    <row r="402" spans="2:29" ht="13.5" customHeight="1">
      <c r="B402" s="98" t="e">
        <f>CONCATENATE("- Valor Estimado: R$ ",INDEX(QSGR!$J$16:$J$11170,AC395))</f>
        <v>#N/A</v>
      </c>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c r="AA402" s="121"/>
      <c r="AB402" s="121"/>
    </row>
    <row r="403" spans="2:29" ht="13.5" customHeight="1">
      <c r="B403" s="100"/>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c r="AA403" s="121"/>
      <c r="AB403" s="121"/>
    </row>
    <row r="404" spans="2:29" ht="13.5" customHeight="1">
      <c r="B404" s="98" t="s">
        <v>55</v>
      </c>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c r="AA404" s="121"/>
      <c r="AB404" s="121"/>
      <c r="AC404" s="37">
        <f>AC395+1</f>
        <v>45</v>
      </c>
    </row>
    <row r="405" spans="2:29" ht="13.5" customHeight="1">
      <c r="B405" s="99">
        <f>INDEX(QSGR!$B$16:$B$1570,AC404)</f>
        <v>0</v>
      </c>
      <c r="C405" s="121"/>
      <c r="D405" s="121"/>
      <c r="E405" s="97">
        <f>INDEX(QSGR!$D$16:$D$11170,AC404)</f>
        <v>0</v>
      </c>
      <c r="F405" s="121"/>
      <c r="G405" s="121"/>
      <c r="H405" s="121"/>
      <c r="I405" s="121"/>
      <c r="J405" s="121"/>
      <c r="K405" s="121"/>
      <c r="L405" s="121"/>
      <c r="M405" s="121"/>
      <c r="N405" s="121"/>
      <c r="O405" s="121"/>
      <c r="P405" s="121"/>
      <c r="Q405" s="121"/>
      <c r="R405" s="121"/>
      <c r="S405" s="121"/>
      <c r="T405" s="121"/>
      <c r="U405" s="121"/>
      <c r="V405" s="121"/>
      <c r="W405" s="121"/>
      <c r="X405" s="121"/>
      <c r="Y405" s="121"/>
      <c r="Z405" s="121"/>
      <c r="AA405" s="121"/>
      <c r="AB405" s="121"/>
    </row>
    <row r="406" spans="2:29" ht="13.5" customHeight="1">
      <c r="B406" s="96" t="str">
        <f>CONCATENATE("- Evento: ",INFO!$B$22)</f>
        <v>- Evento: PARTICIPAR DA OPERAÇÃO HORUS.</v>
      </c>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c r="AA406" s="121"/>
      <c r="AB406" s="121"/>
    </row>
    <row r="407" spans="2:29" ht="13.5" customHeight="1">
      <c r="B407" s="98" t="str">
        <f>CONCATENATE("- Documento de Solicitação: ",INFO!$B$24)</f>
        <v>- Documento de Solicitação: TESTE AZUL</v>
      </c>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c r="AA407" s="121"/>
      <c r="AB407" s="121"/>
    </row>
    <row r="408" spans="2:29" ht="13.5" customHeight="1">
      <c r="B408" s="98" t="str">
        <f>CONCATENATE("- Local: ",INFO!$C$18)</f>
        <v>- Local: GUAIRA - PR</v>
      </c>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c r="AA408" s="121"/>
      <c r="AB408" s="121"/>
    </row>
    <row r="409" spans="2:29" ht="13.5" customHeight="1">
      <c r="B409" s="98" t="str">
        <f>CONCATENATE("- Periodo: ",INFO!$C$10," a ",INFO!$C$19)</f>
        <v xml:space="preserve">- Periodo: 22/7/2025  a 23/8/2025 </v>
      </c>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c r="AA409" s="121"/>
      <c r="AB409" s="121"/>
    </row>
    <row r="410" spans="2:29" ht="13.5" customHeight="1">
      <c r="B410" s="98" t="str">
        <f>CONCATENATE("- Nr Dias: ",INFO!$C$20)</f>
        <v>- Nr Dias: 33</v>
      </c>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c r="AA410" s="121"/>
      <c r="AB410" s="121"/>
    </row>
    <row r="411" spans="2:29" ht="13.5" customHeight="1">
      <c r="B411" s="98" t="e">
        <f>CONCATENATE("- Valor Estimado: R$ ",INDEX(QSGR!$J$16:$J$11170,AC404))</f>
        <v>#N/A</v>
      </c>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c r="AA411" s="121"/>
      <c r="AB411" s="121"/>
    </row>
    <row r="412" spans="2:29" ht="13.5" customHeight="1">
      <c r="B412" s="100"/>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c r="AA412" s="121"/>
      <c r="AB412" s="121"/>
    </row>
    <row r="413" spans="2:29" ht="13.5" customHeight="1">
      <c r="B413" s="98" t="s">
        <v>55</v>
      </c>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c r="AA413" s="121"/>
      <c r="AB413" s="121"/>
      <c r="AC413" s="37">
        <f>AC404+1</f>
        <v>46</v>
      </c>
    </row>
    <row r="414" spans="2:29" ht="13.5" customHeight="1">
      <c r="B414" s="99">
        <f>INDEX(QSGR!$B$16:$B$1570,AC413)</f>
        <v>0</v>
      </c>
      <c r="C414" s="121"/>
      <c r="D414" s="121"/>
      <c r="E414" s="97">
        <f>INDEX(QSGR!$D$16:$D$11170,AC413)</f>
        <v>0</v>
      </c>
      <c r="F414" s="121"/>
      <c r="G414" s="121"/>
      <c r="H414" s="121"/>
      <c r="I414" s="121"/>
      <c r="J414" s="121"/>
      <c r="K414" s="121"/>
      <c r="L414" s="121"/>
      <c r="M414" s="121"/>
      <c r="N414" s="121"/>
      <c r="O414" s="121"/>
      <c r="P414" s="121"/>
      <c r="Q414" s="121"/>
      <c r="R414" s="121"/>
      <c r="S414" s="121"/>
      <c r="T414" s="121"/>
      <c r="U414" s="121"/>
      <c r="V414" s="121"/>
      <c r="W414" s="121"/>
      <c r="X414" s="121"/>
      <c r="Y414" s="121"/>
      <c r="Z414" s="121"/>
      <c r="AA414" s="121"/>
      <c r="AB414" s="121"/>
    </row>
    <row r="415" spans="2:29" ht="13.5" customHeight="1">
      <c r="B415" s="96" t="str">
        <f>CONCATENATE("- Evento: ",INFO!$B$22)</f>
        <v>- Evento: PARTICIPAR DA OPERAÇÃO HORUS.</v>
      </c>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c r="AA415" s="121"/>
      <c r="AB415" s="121"/>
    </row>
    <row r="416" spans="2:29" ht="13.5" customHeight="1">
      <c r="B416" s="98" t="str">
        <f>CONCATENATE("- Documento de Solicitação: ",INFO!$B$24)</f>
        <v>- Documento de Solicitação: TESTE AZUL</v>
      </c>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c r="AA416" s="121"/>
      <c r="AB416" s="121"/>
    </row>
    <row r="417" spans="2:29" ht="13.5" customHeight="1">
      <c r="B417" s="98" t="str">
        <f>CONCATENATE("- Local: ",INFO!$C$18)</f>
        <v>- Local: GUAIRA - PR</v>
      </c>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c r="AA417" s="121"/>
      <c r="AB417" s="121"/>
    </row>
    <row r="418" spans="2:29" ht="13.5" customHeight="1">
      <c r="B418" s="98" t="str">
        <f>CONCATENATE("- Periodo: ",INFO!$C$10," a ",INFO!$C$19)</f>
        <v xml:space="preserve">- Periodo: 22/7/2025  a 23/8/2025 </v>
      </c>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c r="AA418" s="121"/>
      <c r="AB418" s="121"/>
    </row>
    <row r="419" spans="2:29" ht="13.5" customHeight="1">
      <c r="B419" s="98" t="str">
        <f>CONCATENATE("- Nr Dias: ",INFO!$C$20)</f>
        <v>- Nr Dias: 33</v>
      </c>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c r="AA419" s="121"/>
      <c r="AB419" s="121"/>
    </row>
    <row r="420" spans="2:29" ht="13.5" customHeight="1">
      <c r="B420" s="98" t="e">
        <f>CONCATENATE("- Valor Estimado: R$ ",INDEX(QSGR!$J$16:$J$11170,AC413))</f>
        <v>#N/A</v>
      </c>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c r="AA420" s="121"/>
      <c r="AB420" s="121"/>
    </row>
    <row r="421" spans="2:29" ht="13.5" customHeight="1">
      <c r="B421" s="100"/>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c r="AA421" s="121"/>
      <c r="AB421" s="121"/>
    </row>
    <row r="422" spans="2:29" ht="13.5" customHeight="1">
      <c r="B422" s="98" t="s">
        <v>55</v>
      </c>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c r="AA422" s="121"/>
      <c r="AB422" s="121"/>
      <c r="AC422" s="37">
        <f>AC413+1</f>
        <v>47</v>
      </c>
    </row>
    <row r="423" spans="2:29" ht="13.5" customHeight="1">
      <c r="B423" s="99">
        <f>INDEX(QSGR!$B$16:$B$1570,AC422)</f>
        <v>0</v>
      </c>
      <c r="C423" s="121"/>
      <c r="D423" s="121"/>
      <c r="E423" s="97">
        <f>INDEX(QSGR!$D$16:$D$11170,AC422)</f>
        <v>0</v>
      </c>
      <c r="F423" s="121"/>
      <c r="G423" s="121"/>
      <c r="H423" s="121"/>
      <c r="I423" s="121"/>
      <c r="J423" s="121"/>
      <c r="K423" s="121"/>
      <c r="L423" s="121"/>
      <c r="M423" s="121"/>
      <c r="N423" s="121"/>
      <c r="O423" s="121"/>
      <c r="P423" s="121"/>
      <c r="Q423" s="121"/>
      <c r="R423" s="121"/>
      <c r="S423" s="121"/>
      <c r="T423" s="121"/>
      <c r="U423" s="121"/>
      <c r="V423" s="121"/>
      <c r="W423" s="121"/>
      <c r="X423" s="121"/>
      <c r="Y423" s="121"/>
      <c r="Z423" s="121"/>
      <c r="AA423" s="121"/>
      <c r="AB423" s="121"/>
    </row>
    <row r="424" spans="2:29" ht="13.5" customHeight="1">
      <c r="B424" s="96" t="str">
        <f>CONCATENATE("- Evento: ",INFO!$B$22)</f>
        <v>- Evento: PARTICIPAR DA OPERAÇÃO HORUS.</v>
      </c>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c r="AA424" s="121"/>
      <c r="AB424" s="121"/>
    </row>
    <row r="425" spans="2:29" ht="13.5" customHeight="1">
      <c r="B425" s="98" t="str">
        <f>CONCATENATE("- Documento de Solicitação: ",INFO!$B$24)</f>
        <v>- Documento de Solicitação: TESTE AZUL</v>
      </c>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c r="AA425" s="121"/>
      <c r="AB425" s="121"/>
    </row>
    <row r="426" spans="2:29" ht="13.5" customHeight="1">
      <c r="B426" s="98" t="str">
        <f>CONCATENATE("- Local: ",INFO!$C$18)</f>
        <v>- Local: GUAIRA - PR</v>
      </c>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c r="AA426" s="121"/>
      <c r="AB426" s="121"/>
    </row>
    <row r="427" spans="2:29" ht="13.5" customHeight="1">
      <c r="B427" s="98" t="str">
        <f>CONCATENATE("- Periodo: ",INFO!$C$10," a ",INFO!$C$19)</f>
        <v xml:space="preserve">- Periodo: 22/7/2025  a 23/8/2025 </v>
      </c>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c r="AA427" s="121"/>
      <c r="AB427" s="121"/>
    </row>
    <row r="428" spans="2:29" ht="13.5" customHeight="1">
      <c r="B428" s="98" t="str">
        <f>CONCATENATE("- Nr Dias: ",INFO!$C$20)</f>
        <v>- Nr Dias: 33</v>
      </c>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c r="AA428" s="121"/>
      <c r="AB428" s="121"/>
    </row>
    <row r="429" spans="2:29" ht="13.5" customHeight="1">
      <c r="B429" s="98" t="e">
        <f>CONCATENATE("- Valor Estimado: R$ ",INDEX(QSGR!$J$16:$J$11170,AC422))</f>
        <v>#N/A</v>
      </c>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c r="AA429" s="121"/>
      <c r="AB429" s="121"/>
    </row>
    <row r="430" spans="2:29" ht="13.5" customHeight="1">
      <c r="B430" s="100"/>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c r="AA430" s="121"/>
      <c r="AB430" s="121"/>
    </row>
    <row r="431" spans="2:29" ht="13.5" customHeight="1">
      <c r="B431" s="98" t="s">
        <v>55</v>
      </c>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c r="AA431" s="121"/>
      <c r="AB431" s="121"/>
      <c r="AC431" s="37">
        <f>AC422+1</f>
        <v>48</v>
      </c>
    </row>
    <row r="432" spans="2:29" ht="13.5" customHeight="1">
      <c r="B432" s="99">
        <f>INDEX(QSGR!$B$16:$B$1570,AC431)</f>
        <v>0</v>
      </c>
      <c r="C432" s="121"/>
      <c r="D432" s="121"/>
      <c r="E432" s="97">
        <f>INDEX(QSGR!$D$16:$D$11170,AC431)</f>
        <v>0</v>
      </c>
      <c r="F432" s="121"/>
      <c r="G432" s="121"/>
      <c r="H432" s="121"/>
      <c r="I432" s="121"/>
      <c r="J432" s="121"/>
      <c r="K432" s="121"/>
      <c r="L432" s="121"/>
      <c r="M432" s="121"/>
      <c r="N432" s="121"/>
      <c r="O432" s="121"/>
      <c r="P432" s="121"/>
      <c r="Q432" s="121"/>
      <c r="R432" s="121"/>
      <c r="S432" s="121"/>
      <c r="T432" s="121"/>
      <c r="U432" s="121"/>
      <c r="V432" s="121"/>
      <c r="W432" s="121"/>
      <c r="X432" s="121"/>
      <c r="Y432" s="121"/>
      <c r="Z432" s="121"/>
      <c r="AA432" s="121"/>
      <c r="AB432" s="121"/>
    </row>
    <row r="433" spans="2:29" ht="13.5" customHeight="1">
      <c r="B433" s="96" t="str">
        <f>CONCATENATE("- Evento: ",INFO!$B$22)</f>
        <v>- Evento: PARTICIPAR DA OPERAÇÃO HORUS.</v>
      </c>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c r="AA433" s="121"/>
      <c r="AB433" s="121"/>
    </row>
    <row r="434" spans="2:29" ht="13.5" customHeight="1">
      <c r="B434" s="98" t="str">
        <f>CONCATENATE("- Documento de Solicitação: ",INFO!$B$24)</f>
        <v>- Documento de Solicitação: TESTE AZUL</v>
      </c>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c r="AA434" s="121"/>
      <c r="AB434" s="121"/>
    </row>
    <row r="435" spans="2:29" ht="13.5" customHeight="1">
      <c r="B435" s="98" t="str">
        <f>CONCATENATE("- Local: ",INFO!$C$18)</f>
        <v>- Local: GUAIRA - PR</v>
      </c>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c r="AA435" s="121"/>
      <c r="AB435" s="121"/>
    </row>
    <row r="436" spans="2:29" ht="13.5" customHeight="1">
      <c r="B436" s="98" t="str">
        <f>CONCATENATE("- Periodo: ",INFO!$C$10," a ",INFO!$C$19)</f>
        <v xml:space="preserve">- Periodo: 22/7/2025  a 23/8/2025 </v>
      </c>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c r="AA436" s="121"/>
      <c r="AB436" s="121"/>
    </row>
    <row r="437" spans="2:29" ht="13.5" customHeight="1">
      <c r="B437" s="98" t="str">
        <f>CONCATENATE("- Nr Dias: ",INFO!$C$20)</f>
        <v>- Nr Dias: 33</v>
      </c>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c r="AA437" s="121"/>
      <c r="AB437" s="121"/>
    </row>
    <row r="438" spans="2:29" ht="13.5" customHeight="1">
      <c r="B438" s="98" t="e">
        <f>CONCATENATE("- Valor Estimado: R$ ",INDEX(QSGR!$J$16:$J$11170,AC431))</f>
        <v>#N/A</v>
      </c>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c r="AA438" s="121"/>
      <c r="AB438" s="121"/>
    </row>
    <row r="439" spans="2:29" ht="13.5" customHeight="1">
      <c r="B439" s="100"/>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c r="AA439" s="121"/>
      <c r="AB439" s="121"/>
    </row>
    <row r="440" spans="2:29" ht="13.5" customHeight="1">
      <c r="B440" s="98" t="s">
        <v>55</v>
      </c>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c r="AA440" s="121"/>
      <c r="AB440" s="121"/>
      <c r="AC440" s="37">
        <f>AC431+1</f>
        <v>49</v>
      </c>
    </row>
    <row r="441" spans="2:29" ht="13.5" customHeight="1">
      <c r="B441" s="99">
        <f>INDEX(QSGR!$B$16:$B$1570,AC440)</f>
        <v>0</v>
      </c>
      <c r="C441" s="121"/>
      <c r="D441" s="121"/>
      <c r="E441" s="97">
        <f>INDEX(QSGR!$D$16:$D$11170,AC440)</f>
        <v>0</v>
      </c>
      <c r="F441" s="121"/>
      <c r="G441" s="121"/>
      <c r="H441" s="121"/>
      <c r="I441" s="121"/>
      <c r="J441" s="121"/>
      <c r="K441" s="121"/>
      <c r="L441" s="121"/>
      <c r="M441" s="121"/>
      <c r="N441" s="121"/>
      <c r="O441" s="121"/>
      <c r="P441" s="121"/>
      <c r="Q441" s="121"/>
      <c r="R441" s="121"/>
      <c r="S441" s="121"/>
      <c r="T441" s="121"/>
      <c r="U441" s="121"/>
      <c r="V441" s="121"/>
      <c r="W441" s="121"/>
      <c r="X441" s="121"/>
      <c r="Y441" s="121"/>
      <c r="Z441" s="121"/>
      <c r="AA441" s="121"/>
      <c r="AB441" s="121"/>
    </row>
    <row r="442" spans="2:29" ht="13.5" customHeight="1">
      <c r="B442" s="96" t="str">
        <f>CONCATENATE("- Evento: ",INFO!$B$22)</f>
        <v>- Evento: PARTICIPAR DA OPERAÇÃO HORUS.</v>
      </c>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c r="AA442" s="121"/>
      <c r="AB442" s="121"/>
    </row>
    <row r="443" spans="2:29" ht="13.5" customHeight="1">
      <c r="B443" s="98" t="str">
        <f>CONCATENATE("- Documento de Solicitação: ",INFO!$B$24)</f>
        <v>- Documento de Solicitação: TESTE AZUL</v>
      </c>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c r="AA443" s="121"/>
      <c r="AB443" s="121"/>
    </row>
    <row r="444" spans="2:29" ht="13.5" customHeight="1">
      <c r="B444" s="98" t="str">
        <f>CONCATENATE("- Local: ",INFO!$C$18)</f>
        <v>- Local: GUAIRA - PR</v>
      </c>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c r="AA444" s="121"/>
      <c r="AB444" s="121"/>
    </row>
    <row r="445" spans="2:29" ht="13.5" customHeight="1">
      <c r="B445" s="98" t="str">
        <f>CONCATENATE("- Periodo: ",INFO!$C$10," a ",INFO!$C$19)</f>
        <v xml:space="preserve">- Periodo: 22/7/2025  a 23/8/2025 </v>
      </c>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c r="AA445" s="121"/>
      <c r="AB445" s="121"/>
    </row>
    <row r="446" spans="2:29" ht="13.5" customHeight="1">
      <c r="B446" s="98" t="str">
        <f>CONCATENATE("- Nr Dias: ",INFO!$C$20)</f>
        <v>- Nr Dias: 33</v>
      </c>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c r="AA446" s="121"/>
      <c r="AB446" s="121"/>
    </row>
    <row r="447" spans="2:29" ht="13.5" customHeight="1">
      <c r="B447" s="98" t="e">
        <f>CONCATENATE("- Valor Estimado: R$ ",INDEX(QSGR!$J$16:$J$11170,AC440))</f>
        <v>#N/A</v>
      </c>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c r="AA447" s="121"/>
      <c r="AB447" s="121"/>
    </row>
    <row r="448" spans="2:29" ht="13.5" customHeight="1">
      <c r="B448" s="100"/>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c r="AA448" s="121"/>
      <c r="AB448" s="121"/>
    </row>
    <row r="449" spans="2:29" ht="13.5" customHeight="1">
      <c r="B449" s="98" t="s">
        <v>55</v>
      </c>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c r="AA449" s="121"/>
      <c r="AB449" s="121"/>
      <c r="AC449" s="37">
        <f>AC440+1</f>
        <v>50</v>
      </c>
    </row>
    <row r="450" spans="2:29" ht="13.5" customHeight="1">
      <c r="B450" s="99">
        <f>INDEX(QSGR!$B$16:$B$1570,AC449)</f>
        <v>0</v>
      </c>
      <c r="C450" s="121"/>
      <c r="D450" s="121"/>
      <c r="E450" s="97">
        <f>INDEX(QSGR!$D$16:$D$11170,AC449)</f>
        <v>0</v>
      </c>
      <c r="F450" s="121"/>
      <c r="G450" s="121"/>
      <c r="H450" s="121"/>
      <c r="I450" s="121"/>
      <c r="J450" s="121"/>
      <c r="K450" s="121"/>
      <c r="L450" s="121"/>
      <c r="M450" s="121"/>
      <c r="N450" s="121"/>
      <c r="O450" s="121"/>
      <c r="P450" s="121"/>
      <c r="Q450" s="121"/>
      <c r="R450" s="121"/>
      <c r="S450" s="121"/>
      <c r="T450" s="121"/>
      <c r="U450" s="121"/>
      <c r="V450" s="121"/>
      <c r="W450" s="121"/>
      <c r="X450" s="121"/>
      <c r="Y450" s="121"/>
      <c r="Z450" s="121"/>
      <c r="AA450" s="121"/>
      <c r="AB450" s="121"/>
    </row>
    <row r="451" spans="2:29" ht="13.5" customHeight="1">
      <c r="B451" s="96" t="str">
        <f>CONCATENATE("- Evento: ",INFO!$B$22)</f>
        <v>- Evento: PARTICIPAR DA OPERAÇÃO HORUS.</v>
      </c>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c r="AA451" s="121"/>
      <c r="AB451" s="121"/>
    </row>
    <row r="452" spans="2:29" ht="13.5" customHeight="1">
      <c r="B452" s="98" t="str">
        <f>CONCATENATE("- Documento de Solicitação: ",INFO!$B$24)</f>
        <v>- Documento de Solicitação: TESTE AZUL</v>
      </c>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c r="AA452" s="121"/>
      <c r="AB452" s="121"/>
    </row>
    <row r="453" spans="2:29" ht="13.5" customHeight="1">
      <c r="B453" s="98" t="str">
        <f>CONCATENATE("- Local: ",INFO!$C$18)</f>
        <v>- Local: GUAIRA - PR</v>
      </c>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c r="AA453" s="121"/>
      <c r="AB453" s="121"/>
    </row>
    <row r="454" spans="2:29" ht="13.5" customHeight="1">
      <c r="B454" s="98" t="str">
        <f>CONCATENATE("- Periodo: ",INFO!$C$10," a ",INFO!$C$19)</f>
        <v xml:space="preserve">- Periodo: 22/7/2025  a 23/8/2025 </v>
      </c>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c r="AA454" s="121"/>
      <c r="AB454" s="121"/>
    </row>
    <row r="455" spans="2:29" ht="13.5" customHeight="1">
      <c r="B455" s="98" t="str">
        <f>CONCATENATE("- Nr Dias: ",INFO!$C$20)</f>
        <v>- Nr Dias: 33</v>
      </c>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c r="AA455" s="121"/>
      <c r="AB455" s="121"/>
    </row>
    <row r="456" spans="2:29" ht="13.5" customHeight="1">
      <c r="B456" s="98" t="e">
        <f>CONCATENATE("- Valor Estimado: R$ ",INDEX(QSGR!$J$16:$J$11170,AC449))</f>
        <v>#N/A</v>
      </c>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c r="AA456" s="121"/>
      <c r="AB456" s="121"/>
    </row>
    <row r="457" spans="2:29" ht="13.5" customHeight="1">
      <c r="B457" s="100"/>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c r="AA457" s="121"/>
      <c r="AB457" s="121"/>
    </row>
    <row r="458" spans="2:29" ht="13.5" customHeight="1">
      <c r="B458" s="98" t="s">
        <v>55</v>
      </c>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c r="AA458" s="121"/>
      <c r="AB458" s="121"/>
      <c r="AC458" s="37">
        <f>AC449+1</f>
        <v>51</v>
      </c>
    </row>
    <row r="459" spans="2:29" ht="13.5" customHeight="1">
      <c r="B459" s="99">
        <f>INDEX(QSGR!$B$16:$B$1570,AC458)</f>
        <v>0</v>
      </c>
      <c r="C459" s="121"/>
      <c r="D459" s="121"/>
      <c r="E459" s="97">
        <f>INDEX(QSGR!$D$16:$D$11170,AC458)</f>
        <v>0</v>
      </c>
      <c r="F459" s="121"/>
      <c r="G459" s="121"/>
      <c r="H459" s="121"/>
      <c r="I459" s="121"/>
      <c r="J459" s="121"/>
      <c r="K459" s="121"/>
      <c r="L459" s="121"/>
      <c r="M459" s="121"/>
      <c r="N459" s="121"/>
      <c r="O459" s="121"/>
      <c r="P459" s="121"/>
      <c r="Q459" s="121"/>
      <c r="R459" s="121"/>
      <c r="S459" s="121"/>
      <c r="T459" s="121"/>
      <c r="U459" s="121"/>
      <c r="V459" s="121"/>
      <c r="W459" s="121"/>
      <c r="X459" s="121"/>
      <c r="Y459" s="121"/>
      <c r="Z459" s="121"/>
      <c r="AA459" s="121"/>
      <c r="AB459" s="121"/>
    </row>
    <row r="460" spans="2:29" ht="13.5" customHeight="1">
      <c r="B460" s="96" t="str">
        <f>CONCATENATE("- Evento: ",INFO!$B$22)</f>
        <v>- Evento: PARTICIPAR DA OPERAÇÃO HORUS.</v>
      </c>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c r="AA460" s="121"/>
      <c r="AB460" s="121"/>
    </row>
    <row r="461" spans="2:29" ht="13.5" customHeight="1">
      <c r="B461" s="98" t="str">
        <f>CONCATENATE("- Documento de Solicitação: ",INFO!$B$24)</f>
        <v>- Documento de Solicitação: TESTE AZUL</v>
      </c>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c r="AA461" s="121"/>
      <c r="AB461" s="121"/>
    </row>
    <row r="462" spans="2:29" ht="13.5" customHeight="1">
      <c r="B462" s="98" t="str">
        <f>CONCATENATE("- Local: ",INFO!$C$18)</f>
        <v>- Local: GUAIRA - PR</v>
      </c>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c r="AA462" s="121"/>
      <c r="AB462" s="121"/>
    </row>
    <row r="463" spans="2:29" ht="13.5" customHeight="1">
      <c r="B463" s="98" t="str">
        <f>CONCATENATE("- Periodo: ",INFO!$C$10," a ",INFO!$C$19)</f>
        <v xml:space="preserve">- Periodo: 22/7/2025  a 23/8/2025 </v>
      </c>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c r="AA463" s="121"/>
      <c r="AB463" s="121"/>
    </row>
    <row r="464" spans="2:29" ht="13.5" customHeight="1">
      <c r="B464" s="98" t="str">
        <f>CONCATENATE("- Nr Dias: ",INFO!$C$20)</f>
        <v>- Nr Dias: 33</v>
      </c>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c r="AA464" s="121"/>
      <c r="AB464" s="121"/>
    </row>
    <row r="465" spans="2:29" ht="13.5" customHeight="1">
      <c r="B465" s="98" t="e">
        <f>CONCATENATE("- Valor Estimado: R$ ",INDEX(QSGR!$J$16:$J$11170,AC458))</f>
        <v>#N/A</v>
      </c>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c r="AA465" s="121"/>
      <c r="AB465" s="121"/>
    </row>
    <row r="466" spans="2:29" ht="13.5" customHeight="1">
      <c r="B466" s="100"/>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c r="AA466" s="121"/>
      <c r="AB466" s="121"/>
    </row>
    <row r="467" spans="2:29" ht="13.5" customHeight="1">
      <c r="B467" s="98" t="s">
        <v>55</v>
      </c>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c r="AA467" s="121"/>
      <c r="AB467" s="121"/>
      <c r="AC467" s="37">
        <f>AC458+1</f>
        <v>52</v>
      </c>
    </row>
    <row r="468" spans="2:29" ht="13.5" customHeight="1">
      <c r="B468" s="99">
        <f>INDEX(QSGR!$B$16:$B$1570,AC467)</f>
        <v>0</v>
      </c>
      <c r="C468" s="121"/>
      <c r="D468" s="121"/>
      <c r="E468" s="97">
        <f>INDEX(QSGR!$D$16:$D$11170,AC467)</f>
        <v>0</v>
      </c>
      <c r="F468" s="121"/>
      <c r="G468" s="121"/>
      <c r="H468" s="121"/>
      <c r="I468" s="121"/>
      <c r="J468" s="121"/>
      <c r="K468" s="121"/>
      <c r="L468" s="121"/>
      <c r="M468" s="121"/>
      <c r="N468" s="121"/>
      <c r="O468" s="121"/>
      <c r="P468" s="121"/>
      <c r="Q468" s="121"/>
      <c r="R468" s="121"/>
      <c r="S468" s="121"/>
      <c r="T468" s="121"/>
      <c r="U468" s="121"/>
      <c r="V468" s="121"/>
      <c r="W468" s="121"/>
      <c r="X468" s="121"/>
      <c r="Y468" s="121"/>
      <c r="Z468" s="121"/>
      <c r="AA468" s="121"/>
      <c r="AB468" s="121"/>
    </row>
    <row r="469" spans="2:29" ht="13.5" customHeight="1">
      <c r="B469" s="96" t="str">
        <f>CONCATENATE("- Evento: ",INFO!$B$22)</f>
        <v>- Evento: PARTICIPAR DA OPERAÇÃO HORUS.</v>
      </c>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c r="AA469" s="121"/>
      <c r="AB469" s="121"/>
    </row>
    <row r="470" spans="2:29" ht="13.5" customHeight="1">
      <c r="B470" s="98" t="str">
        <f>CONCATENATE("- Documento de Solicitação: ",INFO!$B$24)</f>
        <v>- Documento de Solicitação: TESTE AZUL</v>
      </c>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c r="AA470" s="121"/>
      <c r="AB470" s="121"/>
    </row>
    <row r="471" spans="2:29" ht="13.5" customHeight="1">
      <c r="B471" s="98" t="str">
        <f>CONCATENATE("- Local: ",INFO!$C$18)</f>
        <v>- Local: GUAIRA - PR</v>
      </c>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c r="AA471" s="121"/>
      <c r="AB471" s="121"/>
    </row>
    <row r="472" spans="2:29" ht="13.5" customHeight="1">
      <c r="B472" s="98" t="str">
        <f>CONCATENATE("- Periodo: ",INFO!$C$10," a ",INFO!$C$19)</f>
        <v xml:space="preserve">- Periodo: 22/7/2025  a 23/8/2025 </v>
      </c>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c r="AA472" s="121"/>
      <c r="AB472" s="121"/>
    </row>
    <row r="473" spans="2:29" ht="13.5" customHeight="1">
      <c r="B473" s="98" t="str">
        <f>CONCATENATE("- Nr Dias: ",INFO!$C$20)</f>
        <v>- Nr Dias: 33</v>
      </c>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c r="AA473" s="121"/>
      <c r="AB473" s="121"/>
    </row>
    <row r="474" spans="2:29" ht="13.5" customHeight="1">
      <c r="B474" s="98" t="e">
        <f>CONCATENATE("- Valor Estimado: R$ ",INDEX(QSGR!$J$16:$J$11170,AC467))</f>
        <v>#N/A</v>
      </c>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c r="AA474" s="121"/>
      <c r="AB474" s="121"/>
    </row>
    <row r="475" spans="2:29" ht="13.5" customHeight="1">
      <c r="B475" s="100"/>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c r="AA475" s="121"/>
      <c r="AB475" s="121"/>
    </row>
    <row r="476" spans="2:29" ht="13.5" customHeight="1">
      <c r="B476" s="98" t="s">
        <v>55</v>
      </c>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c r="AA476" s="121"/>
      <c r="AB476" s="121"/>
      <c r="AC476" s="37">
        <f>AC467+1</f>
        <v>53</v>
      </c>
    </row>
    <row r="477" spans="2:29" ht="13.5" customHeight="1">
      <c r="B477" s="99">
        <f>INDEX(QSGR!$B$16:$B$1570,AC476)</f>
        <v>0</v>
      </c>
      <c r="C477" s="121"/>
      <c r="D477" s="121"/>
      <c r="E477" s="97">
        <f>INDEX(QSGR!$D$16:$D$11170,AC476)</f>
        <v>0</v>
      </c>
      <c r="F477" s="121"/>
      <c r="G477" s="121"/>
      <c r="H477" s="121"/>
      <c r="I477" s="121"/>
      <c r="J477" s="121"/>
      <c r="K477" s="121"/>
      <c r="L477" s="121"/>
      <c r="M477" s="121"/>
      <c r="N477" s="121"/>
      <c r="O477" s="121"/>
      <c r="P477" s="121"/>
      <c r="Q477" s="121"/>
      <c r="R477" s="121"/>
      <c r="S477" s="121"/>
      <c r="T477" s="121"/>
      <c r="U477" s="121"/>
      <c r="V477" s="121"/>
      <c r="W477" s="121"/>
      <c r="X477" s="121"/>
      <c r="Y477" s="121"/>
      <c r="Z477" s="121"/>
      <c r="AA477" s="121"/>
      <c r="AB477" s="121"/>
    </row>
    <row r="478" spans="2:29" ht="13.5" customHeight="1">
      <c r="B478" s="96" t="str">
        <f>CONCATENATE("- Evento: ",INFO!$B$22)</f>
        <v>- Evento: PARTICIPAR DA OPERAÇÃO HORUS.</v>
      </c>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c r="AA478" s="121"/>
      <c r="AB478" s="121"/>
    </row>
    <row r="479" spans="2:29" ht="13.5" customHeight="1">
      <c r="B479" s="98" t="str">
        <f>CONCATENATE("- Documento de Solicitação: ",INFO!$B$24)</f>
        <v>- Documento de Solicitação: TESTE AZUL</v>
      </c>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c r="AA479" s="121"/>
      <c r="AB479" s="121"/>
    </row>
    <row r="480" spans="2:29" ht="13.5" customHeight="1">
      <c r="B480" s="98" t="str">
        <f>CONCATENATE("- Local: ",INFO!$C$18)</f>
        <v>- Local: GUAIRA - PR</v>
      </c>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c r="AA480" s="121"/>
      <c r="AB480" s="121"/>
    </row>
    <row r="481" spans="2:29" ht="13.5" customHeight="1">
      <c r="B481" s="98" t="str">
        <f>CONCATENATE("- Periodo: ",INFO!$C$10," a ",INFO!$C$19)</f>
        <v xml:space="preserve">- Periodo: 22/7/2025  a 23/8/2025 </v>
      </c>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c r="AA481" s="121"/>
      <c r="AB481" s="121"/>
    </row>
    <row r="482" spans="2:29" ht="13.5" customHeight="1">
      <c r="B482" s="98" t="str">
        <f>CONCATENATE("- Nr Dias: ",INFO!$C$20)</f>
        <v>- Nr Dias: 33</v>
      </c>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c r="AA482" s="121"/>
      <c r="AB482" s="121"/>
    </row>
    <row r="483" spans="2:29" ht="13.5" customHeight="1">
      <c r="B483" s="98" t="e">
        <f>CONCATENATE("- Valor Estimado: R$ ",INDEX(QSGR!$J$16:$J$11170,AC476))</f>
        <v>#N/A</v>
      </c>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c r="AA483" s="121"/>
      <c r="AB483" s="121"/>
    </row>
    <row r="484" spans="2:29" ht="13.5" customHeight="1">
      <c r="B484" s="100"/>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c r="AA484" s="121"/>
      <c r="AB484" s="121"/>
    </row>
    <row r="485" spans="2:29" ht="13.5" customHeight="1">
      <c r="B485" s="98" t="s">
        <v>55</v>
      </c>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c r="AA485" s="121"/>
      <c r="AB485" s="121"/>
      <c r="AC485" s="37">
        <f>AC476+1</f>
        <v>54</v>
      </c>
    </row>
    <row r="486" spans="2:29" ht="13.5" customHeight="1">
      <c r="B486" s="99">
        <f>INDEX(QSGR!$B$16:$B$1570,AC485)</f>
        <v>0</v>
      </c>
      <c r="C486" s="121"/>
      <c r="D486" s="121"/>
      <c r="E486" s="97">
        <f>INDEX(QSGR!$D$16:$D$11170,AC485)</f>
        <v>0</v>
      </c>
      <c r="F486" s="121"/>
      <c r="G486" s="121"/>
      <c r="H486" s="121"/>
      <c r="I486" s="121"/>
      <c r="J486" s="121"/>
      <c r="K486" s="121"/>
      <c r="L486" s="121"/>
      <c r="M486" s="121"/>
      <c r="N486" s="121"/>
      <c r="O486" s="121"/>
      <c r="P486" s="121"/>
      <c r="Q486" s="121"/>
      <c r="R486" s="121"/>
      <c r="S486" s="121"/>
      <c r="T486" s="121"/>
      <c r="U486" s="121"/>
      <c r="V486" s="121"/>
      <c r="W486" s="121"/>
      <c r="X486" s="121"/>
      <c r="Y486" s="121"/>
      <c r="Z486" s="121"/>
      <c r="AA486" s="121"/>
      <c r="AB486" s="121"/>
    </row>
    <row r="487" spans="2:29" ht="13.5" customHeight="1">
      <c r="B487" s="96" t="str">
        <f>CONCATENATE("- Evento: ",INFO!$B$22)</f>
        <v>- Evento: PARTICIPAR DA OPERAÇÃO HORUS.</v>
      </c>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c r="AA487" s="121"/>
      <c r="AB487" s="121"/>
    </row>
    <row r="488" spans="2:29" ht="13.5" customHeight="1">
      <c r="B488" s="98" t="str">
        <f>CONCATENATE("- Documento de Solicitação: ",INFO!$B$24)</f>
        <v>- Documento de Solicitação: TESTE AZUL</v>
      </c>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c r="AA488" s="121"/>
      <c r="AB488" s="121"/>
    </row>
    <row r="489" spans="2:29" ht="13.5" customHeight="1">
      <c r="B489" s="98" t="str">
        <f>CONCATENATE("- Local: ",INFO!$C$18)</f>
        <v>- Local: GUAIRA - PR</v>
      </c>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c r="AA489" s="121"/>
      <c r="AB489" s="121"/>
    </row>
    <row r="490" spans="2:29" ht="13.5" customHeight="1">
      <c r="B490" s="98" t="str">
        <f>CONCATENATE("- Periodo: ",INFO!$C$10," a ",INFO!$C$19)</f>
        <v xml:space="preserve">- Periodo: 22/7/2025  a 23/8/2025 </v>
      </c>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c r="AA490" s="121"/>
      <c r="AB490" s="121"/>
    </row>
    <row r="491" spans="2:29" ht="13.5" customHeight="1">
      <c r="B491" s="98" t="str">
        <f>CONCATENATE("- Nr Dias: ",INFO!$C$20)</f>
        <v>- Nr Dias: 33</v>
      </c>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c r="AA491" s="121"/>
      <c r="AB491" s="121"/>
    </row>
    <row r="492" spans="2:29" ht="13.5" customHeight="1">
      <c r="B492" s="98" t="e">
        <f>CONCATENATE("- Valor Estimado: R$ ",INDEX(QSGR!$J$16:$J$11170,AC485))</f>
        <v>#N/A</v>
      </c>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c r="AA492" s="121"/>
      <c r="AB492" s="121"/>
    </row>
    <row r="493" spans="2:29" ht="13.5" customHeight="1">
      <c r="B493" s="100"/>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c r="AA493" s="121"/>
      <c r="AB493" s="121"/>
    </row>
    <row r="494" spans="2:29" ht="13.5" customHeight="1">
      <c r="B494" s="98" t="s">
        <v>55</v>
      </c>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c r="AA494" s="121"/>
      <c r="AB494" s="121"/>
      <c r="AC494" s="37">
        <f>AC485+1</f>
        <v>55</v>
      </c>
    </row>
    <row r="495" spans="2:29" ht="13.5" customHeight="1">
      <c r="B495" s="99">
        <f>INDEX(QSGR!$B$16:$B$1570,AC494)</f>
        <v>0</v>
      </c>
      <c r="C495" s="121"/>
      <c r="D495" s="121"/>
      <c r="E495" s="97">
        <f>INDEX(QSGR!$D$16:$D$11170,AC494)</f>
        <v>0</v>
      </c>
      <c r="F495" s="121"/>
      <c r="G495" s="121"/>
      <c r="H495" s="121"/>
      <c r="I495" s="121"/>
      <c r="J495" s="121"/>
      <c r="K495" s="121"/>
      <c r="L495" s="121"/>
      <c r="M495" s="121"/>
      <c r="N495" s="121"/>
      <c r="O495" s="121"/>
      <c r="P495" s="121"/>
      <c r="Q495" s="121"/>
      <c r="R495" s="121"/>
      <c r="S495" s="121"/>
      <c r="T495" s="121"/>
      <c r="U495" s="121"/>
      <c r="V495" s="121"/>
      <c r="W495" s="121"/>
      <c r="X495" s="121"/>
      <c r="Y495" s="121"/>
      <c r="Z495" s="121"/>
      <c r="AA495" s="121"/>
      <c r="AB495" s="121"/>
    </row>
    <row r="496" spans="2:29" ht="13.5" customHeight="1">
      <c r="B496" s="96" t="str">
        <f>CONCATENATE("- Evento: ",INFO!$B$22)</f>
        <v>- Evento: PARTICIPAR DA OPERAÇÃO HORUS.</v>
      </c>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c r="AA496" s="121"/>
      <c r="AB496" s="121"/>
    </row>
    <row r="497" spans="2:29" ht="13.5" customHeight="1">
      <c r="B497" s="98" t="str">
        <f>CONCATENATE("- Documento de Solicitação: ",INFO!$B$24)</f>
        <v>- Documento de Solicitação: TESTE AZUL</v>
      </c>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c r="AA497" s="121"/>
      <c r="AB497" s="121"/>
    </row>
    <row r="498" spans="2:29" ht="13.5" customHeight="1">
      <c r="B498" s="98" t="str">
        <f>CONCATENATE("- Local: ",INFO!$C$18)</f>
        <v>- Local: GUAIRA - PR</v>
      </c>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c r="AA498" s="121"/>
      <c r="AB498" s="121"/>
    </row>
    <row r="499" spans="2:29" ht="13.5" customHeight="1">
      <c r="B499" s="98" t="str">
        <f>CONCATENATE("- Periodo: ",INFO!$C$10," a ",INFO!$C$19)</f>
        <v xml:space="preserve">- Periodo: 22/7/2025  a 23/8/2025 </v>
      </c>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c r="AA499" s="121"/>
      <c r="AB499" s="121"/>
    </row>
    <row r="500" spans="2:29" ht="13.5" customHeight="1">
      <c r="B500" s="98" t="str">
        <f>CONCATENATE("- Nr Dias: ",INFO!$C$20)</f>
        <v>- Nr Dias: 33</v>
      </c>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c r="AA500" s="121"/>
      <c r="AB500" s="121"/>
    </row>
    <row r="501" spans="2:29" ht="13.5" customHeight="1">
      <c r="B501" s="98" t="e">
        <f>CONCATENATE("- Valor Estimado: R$ ",INDEX(QSGR!$J$16:$J$11170,AC494))</f>
        <v>#N/A</v>
      </c>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c r="AA501" s="121"/>
      <c r="AB501" s="121"/>
    </row>
    <row r="502" spans="2:29" ht="13.5" customHeight="1">
      <c r="B502" s="100"/>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c r="AA502" s="121"/>
      <c r="AB502" s="121"/>
    </row>
    <row r="503" spans="2:29" ht="13.5" customHeight="1">
      <c r="B503" s="98" t="s">
        <v>55</v>
      </c>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c r="AA503" s="121"/>
      <c r="AB503" s="121"/>
      <c r="AC503" s="37">
        <f>AC494+1</f>
        <v>56</v>
      </c>
    </row>
    <row r="504" spans="2:29" ht="13.5" customHeight="1">
      <c r="B504" s="99">
        <f>INDEX(QSGR!$B$16:$B$1570,AC503)</f>
        <v>0</v>
      </c>
      <c r="C504" s="121"/>
      <c r="D504" s="121"/>
      <c r="E504" s="97">
        <f>INDEX(QSGR!$D$16:$D$11170,AC503)</f>
        <v>0</v>
      </c>
      <c r="F504" s="121"/>
      <c r="G504" s="121"/>
      <c r="H504" s="121"/>
      <c r="I504" s="121"/>
      <c r="J504" s="121"/>
      <c r="K504" s="121"/>
      <c r="L504" s="121"/>
      <c r="M504" s="121"/>
      <c r="N504" s="121"/>
      <c r="O504" s="121"/>
      <c r="P504" s="121"/>
      <c r="Q504" s="121"/>
      <c r="R504" s="121"/>
      <c r="S504" s="121"/>
      <c r="T504" s="121"/>
      <c r="U504" s="121"/>
      <c r="V504" s="121"/>
      <c r="W504" s="121"/>
      <c r="X504" s="121"/>
      <c r="Y504" s="121"/>
      <c r="Z504" s="121"/>
      <c r="AA504" s="121"/>
      <c r="AB504" s="121"/>
    </row>
    <row r="505" spans="2:29" ht="13.5" customHeight="1">
      <c r="B505" s="96" t="str">
        <f>CONCATENATE("- Evento: ",INFO!$B$22)</f>
        <v>- Evento: PARTICIPAR DA OPERAÇÃO HORUS.</v>
      </c>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c r="AA505" s="121"/>
      <c r="AB505" s="121"/>
    </row>
    <row r="506" spans="2:29" ht="13.5" customHeight="1">
      <c r="B506" s="98" t="str">
        <f>CONCATENATE("- Documento de Solicitação: ",INFO!$B$24)</f>
        <v>- Documento de Solicitação: TESTE AZUL</v>
      </c>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c r="AA506" s="121"/>
      <c r="AB506" s="121"/>
    </row>
    <row r="507" spans="2:29" ht="13.5" customHeight="1">
      <c r="B507" s="98" t="str">
        <f>CONCATENATE("- Local: ",INFO!$C$18)</f>
        <v>- Local: GUAIRA - PR</v>
      </c>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c r="AA507" s="121"/>
      <c r="AB507" s="121"/>
    </row>
    <row r="508" spans="2:29" ht="13.5" customHeight="1">
      <c r="B508" s="98" t="str">
        <f>CONCATENATE("- Periodo: ",INFO!$C$10," a ",INFO!$C$19)</f>
        <v xml:space="preserve">- Periodo: 22/7/2025  a 23/8/2025 </v>
      </c>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c r="AA508" s="121"/>
      <c r="AB508" s="121"/>
    </row>
    <row r="509" spans="2:29" ht="13.5" customHeight="1">
      <c r="B509" s="98" t="str">
        <f>CONCATENATE("- Nr Dias: ",INFO!$C$20)</f>
        <v>- Nr Dias: 33</v>
      </c>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c r="AA509" s="121"/>
      <c r="AB509" s="121"/>
    </row>
    <row r="510" spans="2:29" ht="13.5" customHeight="1">
      <c r="B510" s="98" t="e">
        <f>CONCATENATE("- Valor Estimado: R$ ",INDEX(QSGR!$J$16:$J$11170,AC503))</f>
        <v>#N/A</v>
      </c>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c r="AA510" s="121"/>
      <c r="AB510" s="121"/>
    </row>
    <row r="511" spans="2:29" ht="13.5" customHeight="1">
      <c r="B511" s="100"/>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c r="AA511" s="121"/>
      <c r="AB511" s="121"/>
    </row>
    <row r="512" spans="2:29" ht="13.5" customHeight="1">
      <c r="B512" s="98" t="s">
        <v>55</v>
      </c>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c r="AA512" s="121"/>
      <c r="AB512" s="121"/>
      <c r="AC512" s="37">
        <f>AC503+1</f>
        <v>57</v>
      </c>
    </row>
    <row r="513" spans="2:29" ht="13.5" customHeight="1">
      <c r="B513" s="99">
        <f>INDEX(QSGR!$B$16:$B$1570,AC512)</f>
        <v>0</v>
      </c>
      <c r="C513" s="121"/>
      <c r="D513" s="121"/>
      <c r="E513" s="97">
        <f>INDEX(QSGR!$D$16:$D$11170,AC512)</f>
        <v>0</v>
      </c>
      <c r="F513" s="121"/>
      <c r="G513" s="121"/>
      <c r="H513" s="121"/>
      <c r="I513" s="121"/>
      <c r="J513" s="121"/>
      <c r="K513" s="121"/>
      <c r="L513" s="121"/>
      <c r="M513" s="121"/>
      <c r="N513" s="121"/>
      <c r="O513" s="121"/>
      <c r="P513" s="121"/>
      <c r="Q513" s="121"/>
      <c r="R513" s="121"/>
      <c r="S513" s="121"/>
      <c r="T513" s="121"/>
      <c r="U513" s="121"/>
      <c r="V513" s="121"/>
      <c r="W513" s="121"/>
      <c r="X513" s="121"/>
      <c r="Y513" s="121"/>
      <c r="Z513" s="121"/>
      <c r="AA513" s="121"/>
      <c r="AB513" s="121"/>
    </row>
    <row r="514" spans="2:29" ht="13.5" customHeight="1">
      <c r="B514" s="96" t="str">
        <f>CONCATENATE("- Evento: ",INFO!$B$22)</f>
        <v>- Evento: PARTICIPAR DA OPERAÇÃO HORUS.</v>
      </c>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c r="AA514" s="121"/>
      <c r="AB514" s="121"/>
    </row>
    <row r="515" spans="2:29" ht="13.5" customHeight="1">
      <c r="B515" s="98" t="str">
        <f>CONCATENATE("- Documento de Solicitação: ",INFO!$B$24)</f>
        <v>- Documento de Solicitação: TESTE AZUL</v>
      </c>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c r="AA515" s="121"/>
      <c r="AB515" s="121"/>
    </row>
    <row r="516" spans="2:29" ht="13.5" customHeight="1">
      <c r="B516" s="98" t="str">
        <f>CONCATENATE("- Local: ",INFO!$C$18)</f>
        <v>- Local: GUAIRA - PR</v>
      </c>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c r="AA516" s="121"/>
      <c r="AB516" s="121"/>
    </row>
    <row r="517" spans="2:29" ht="13.5" customHeight="1">
      <c r="B517" s="98" t="str">
        <f>CONCATENATE("- Periodo: ",INFO!$C$10," a ",INFO!$C$19)</f>
        <v xml:space="preserve">- Periodo: 22/7/2025  a 23/8/2025 </v>
      </c>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c r="AA517" s="121"/>
      <c r="AB517" s="121"/>
    </row>
    <row r="518" spans="2:29" ht="13.5" customHeight="1">
      <c r="B518" s="98" t="str">
        <f>CONCATENATE("- Nr Dias: ",INFO!$C$20)</f>
        <v>- Nr Dias: 33</v>
      </c>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c r="AA518" s="121"/>
      <c r="AB518" s="121"/>
    </row>
    <row r="519" spans="2:29" ht="13.5" customHeight="1">
      <c r="B519" s="98" t="e">
        <f>CONCATENATE("- Valor Estimado: R$ ",INDEX(QSGR!$J$16:$J$11170,AC512))</f>
        <v>#N/A</v>
      </c>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c r="AA519" s="121"/>
      <c r="AB519" s="121"/>
    </row>
    <row r="520" spans="2:29" ht="13.5" customHeight="1">
      <c r="B520" s="100"/>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c r="AA520" s="121"/>
      <c r="AB520" s="121"/>
    </row>
    <row r="521" spans="2:29" ht="13.5" customHeight="1">
      <c r="B521" s="98" t="s">
        <v>55</v>
      </c>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c r="AA521" s="121"/>
      <c r="AB521" s="121"/>
      <c r="AC521" s="37">
        <f>AC512+1</f>
        <v>58</v>
      </c>
    </row>
    <row r="522" spans="2:29" ht="13.5" customHeight="1">
      <c r="B522" s="99">
        <f>INDEX(QSGR!$B$16:$B$1570,AC521)</f>
        <v>0</v>
      </c>
      <c r="C522" s="121"/>
      <c r="D522" s="121"/>
      <c r="E522" s="97">
        <f>INDEX(QSGR!$D$16:$D$11170,AC521)</f>
        <v>0</v>
      </c>
      <c r="F522" s="121"/>
      <c r="G522" s="121"/>
      <c r="H522" s="121"/>
      <c r="I522" s="121"/>
      <c r="J522" s="121"/>
      <c r="K522" s="121"/>
      <c r="L522" s="121"/>
      <c r="M522" s="121"/>
      <c r="N522" s="121"/>
      <c r="O522" s="121"/>
      <c r="P522" s="121"/>
      <c r="Q522" s="121"/>
      <c r="R522" s="121"/>
      <c r="S522" s="121"/>
      <c r="T522" s="121"/>
      <c r="U522" s="121"/>
      <c r="V522" s="121"/>
      <c r="W522" s="121"/>
      <c r="X522" s="121"/>
      <c r="Y522" s="121"/>
      <c r="Z522" s="121"/>
      <c r="AA522" s="121"/>
      <c r="AB522" s="121"/>
    </row>
    <row r="523" spans="2:29" ht="13.5" customHeight="1">
      <c r="B523" s="96" t="str">
        <f>CONCATENATE("- Evento: ",INFO!$B$22)</f>
        <v>- Evento: PARTICIPAR DA OPERAÇÃO HORUS.</v>
      </c>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c r="AA523" s="121"/>
      <c r="AB523" s="121"/>
    </row>
    <row r="524" spans="2:29" ht="13.5" customHeight="1">
      <c r="B524" s="98" t="str">
        <f>CONCATENATE("- Documento de Solicitação: ",INFO!$B$24)</f>
        <v>- Documento de Solicitação: TESTE AZUL</v>
      </c>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c r="AA524" s="121"/>
      <c r="AB524" s="121"/>
    </row>
    <row r="525" spans="2:29" ht="13.5" customHeight="1">
      <c r="B525" s="98" t="str">
        <f>CONCATENATE("- Local: ",INFO!$C$18)</f>
        <v>- Local: GUAIRA - PR</v>
      </c>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c r="AA525" s="121"/>
      <c r="AB525" s="121"/>
    </row>
    <row r="526" spans="2:29" ht="13.5" customHeight="1">
      <c r="B526" s="98" t="str">
        <f>CONCATENATE("- Periodo: ",INFO!$C$10," a ",INFO!$C$19)</f>
        <v xml:space="preserve">- Periodo: 22/7/2025  a 23/8/2025 </v>
      </c>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c r="AA526" s="121"/>
      <c r="AB526" s="121"/>
    </row>
    <row r="527" spans="2:29" ht="13.5" customHeight="1">
      <c r="B527" s="98" t="str">
        <f>CONCATENATE("- Nr Dias: ",INFO!$C$20)</f>
        <v>- Nr Dias: 33</v>
      </c>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c r="AA527" s="121"/>
      <c r="AB527" s="121"/>
    </row>
    <row r="528" spans="2:29" ht="13.5" customHeight="1">
      <c r="B528" s="98" t="e">
        <f>CONCATENATE("- Valor Estimado: R$ ",INDEX(QSGR!$J$16:$J$11170,AC521))</f>
        <v>#N/A</v>
      </c>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c r="AA528" s="121"/>
      <c r="AB528" s="121"/>
    </row>
    <row r="529" spans="2:29" ht="13.5" customHeight="1">
      <c r="B529" s="100"/>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c r="AA529" s="121"/>
      <c r="AB529" s="121"/>
    </row>
    <row r="530" spans="2:29" ht="13.5" customHeight="1">
      <c r="B530" s="98" t="s">
        <v>55</v>
      </c>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c r="AA530" s="121"/>
      <c r="AB530" s="121"/>
      <c r="AC530" s="37">
        <f>AC521+1</f>
        <v>59</v>
      </c>
    </row>
    <row r="531" spans="2:29" ht="13.5" customHeight="1">
      <c r="B531" s="99">
        <f>INDEX(QSGR!$B$16:$B$1570,AC530)</f>
        <v>0</v>
      </c>
      <c r="C531" s="121"/>
      <c r="D531" s="121"/>
      <c r="E531" s="97">
        <f>INDEX(QSGR!$D$16:$D$11170,AC530)</f>
        <v>0</v>
      </c>
      <c r="F531" s="121"/>
      <c r="G531" s="121"/>
      <c r="H531" s="121"/>
      <c r="I531" s="121"/>
      <c r="J531" s="121"/>
      <c r="K531" s="121"/>
      <c r="L531" s="121"/>
      <c r="M531" s="121"/>
      <c r="N531" s="121"/>
      <c r="O531" s="121"/>
      <c r="P531" s="121"/>
      <c r="Q531" s="121"/>
      <c r="R531" s="121"/>
      <c r="S531" s="121"/>
      <c r="T531" s="121"/>
      <c r="U531" s="121"/>
      <c r="V531" s="121"/>
      <c r="W531" s="121"/>
      <c r="X531" s="121"/>
      <c r="Y531" s="121"/>
      <c r="Z531" s="121"/>
      <c r="AA531" s="121"/>
      <c r="AB531" s="121"/>
    </row>
    <row r="532" spans="2:29" ht="13.5" customHeight="1">
      <c r="B532" s="96" t="str">
        <f>CONCATENATE("- Evento: ",INFO!$B$22)</f>
        <v>- Evento: PARTICIPAR DA OPERAÇÃO HORUS.</v>
      </c>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c r="AA532" s="121"/>
      <c r="AB532" s="121"/>
    </row>
    <row r="533" spans="2:29" ht="13.5" customHeight="1">
      <c r="B533" s="98" t="str">
        <f>CONCATENATE("- Documento de Solicitação: ",INFO!$B$24)</f>
        <v>- Documento de Solicitação: TESTE AZUL</v>
      </c>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c r="AA533" s="121"/>
      <c r="AB533" s="121"/>
    </row>
    <row r="534" spans="2:29" ht="13.5" customHeight="1">
      <c r="B534" s="98" t="str">
        <f>CONCATENATE("- Local: ",INFO!$C$18)</f>
        <v>- Local: GUAIRA - PR</v>
      </c>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c r="AA534" s="121"/>
      <c r="AB534" s="121"/>
    </row>
    <row r="535" spans="2:29" ht="13.5" customHeight="1">
      <c r="B535" s="98" t="str">
        <f>CONCATENATE("- Periodo: ",INFO!$C$10," a ",INFO!$C$19)</f>
        <v xml:space="preserve">- Periodo: 22/7/2025  a 23/8/2025 </v>
      </c>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c r="AA535" s="121"/>
      <c r="AB535" s="121"/>
    </row>
    <row r="536" spans="2:29" ht="13.5" customHeight="1">
      <c r="B536" s="98" t="str">
        <f>CONCATENATE("- Nr Dias: ",INFO!$C$20)</f>
        <v>- Nr Dias: 33</v>
      </c>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c r="AA536" s="121"/>
      <c r="AB536" s="121"/>
    </row>
    <row r="537" spans="2:29" ht="13.5" customHeight="1">
      <c r="B537" s="98" t="e">
        <f>CONCATENATE("- Valor Estimado: R$ ",INDEX(QSGR!$J$16:$J$11170,AC530))</f>
        <v>#N/A</v>
      </c>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c r="AA537" s="121"/>
      <c r="AB537" s="121"/>
    </row>
    <row r="538" spans="2:29" ht="13.5" customHeight="1">
      <c r="B538" s="100"/>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c r="AA538" s="121"/>
      <c r="AB538" s="121"/>
    </row>
    <row r="539" spans="2:29" ht="13.5" customHeight="1">
      <c r="B539" s="98" t="s">
        <v>55</v>
      </c>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c r="AA539" s="121"/>
      <c r="AB539" s="121"/>
      <c r="AC539" s="37">
        <f>AC530+1</f>
        <v>60</v>
      </c>
    </row>
    <row r="540" spans="2:29" ht="13.5" customHeight="1">
      <c r="B540" s="99">
        <f>INDEX(QSGR!$B$16:$B$1570,AC539)</f>
        <v>0</v>
      </c>
      <c r="C540" s="121"/>
      <c r="D540" s="121"/>
      <c r="E540" s="97">
        <f>INDEX(QSGR!$D$16:$D$11170,AC539)</f>
        <v>0</v>
      </c>
      <c r="F540" s="121"/>
      <c r="G540" s="121"/>
      <c r="H540" s="121"/>
      <c r="I540" s="121"/>
      <c r="J540" s="121"/>
      <c r="K540" s="121"/>
      <c r="L540" s="121"/>
      <c r="M540" s="121"/>
      <c r="N540" s="121"/>
      <c r="O540" s="121"/>
      <c r="P540" s="121"/>
      <c r="Q540" s="121"/>
      <c r="R540" s="121"/>
      <c r="S540" s="121"/>
      <c r="T540" s="121"/>
      <c r="U540" s="121"/>
      <c r="V540" s="121"/>
      <c r="W540" s="121"/>
      <c r="X540" s="121"/>
      <c r="Y540" s="121"/>
      <c r="Z540" s="121"/>
      <c r="AA540" s="121"/>
      <c r="AB540" s="121"/>
    </row>
    <row r="541" spans="2:29" ht="13.5" customHeight="1">
      <c r="B541" s="96" t="str">
        <f>CONCATENATE("- Evento: ",INFO!$B$22)</f>
        <v>- Evento: PARTICIPAR DA OPERAÇÃO HORUS.</v>
      </c>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c r="AA541" s="121"/>
      <c r="AB541" s="121"/>
    </row>
    <row r="542" spans="2:29" ht="13.5" customHeight="1">
      <c r="B542" s="98" t="str">
        <f>CONCATENATE("- Documento de Solicitação: ",INFO!$B$24)</f>
        <v>- Documento de Solicitação: TESTE AZUL</v>
      </c>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c r="AA542" s="121"/>
      <c r="AB542" s="121"/>
    </row>
    <row r="543" spans="2:29" ht="13.5" customHeight="1">
      <c r="B543" s="98" t="str">
        <f>CONCATENATE("- Local: ",INFO!$C$18)</f>
        <v>- Local: GUAIRA - PR</v>
      </c>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c r="AA543" s="121"/>
      <c r="AB543" s="121"/>
    </row>
    <row r="544" spans="2:29" ht="13.5" customHeight="1">
      <c r="B544" s="98" t="str">
        <f>CONCATENATE("- Periodo: ",INFO!$C$10," a ",INFO!$C$19)</f>
        <v xml:space="preserve">- Periodo: 22/7/2025  a 23/8/2025 </v>
      </c>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c r="AA544" s="121"/>
      <c r="AB544" s="121"/>
    </row>
    <row r="545" spans="2:29" ht="13.5" customHeight="1">
      <c r="B545" s="98" t="str">
        <f>CONCATENATE("- Nr Dias: ",INFO!$C$20)</f>
        <v>- Nr Dias: 33</v>
      </c>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c r="AA545" s="121"/>
      <c r="AB545" s="121"/>
    </row>
    <row r="546" spans="2:29" ht="13.5" customHeight="1">
      <c r="B546" s="98" t="e">
        <f>CONCATENATE("- Valor Estimado: R$ ",INDEX(QSGR!$J$16:$J$11170,AC539))</f>
        <v>#N/A</v>
      </c>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c r="AA546" s="121"/>
      <c r="AB546" s="121"/>
    </row>
    <row r="547" spans="2:29" ht="13.5" customHeight="1">
      <c r="B547" s="100"/>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c r="AA547" s="121"/>
      <c r="AB547" s="121"/>
    </row>
    <row r="548" spans="2:29" ht="13.5" customHeight="1">
      <c r="B548" s="98" t="s">
        <v>55</v>
      </c>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c r="AA548" s="121"/>
      <c r="AB548" s="121"/>
      <c r="AC548" s="37">
        <f>AC539+1</f>
        <v>61</v>
      </c>
    </row>
    <row r="549" spans="2:29" ht="13.5" customHeight="1">
      <c r="B549" s="99">
        <f>INDEX(QSGR!$B$16:$B$1570,AC548)</f>
        <v>0</v>
      </c>
      <c r="C549" s="121"/>
      <c r="D549" s="121"/>
      <c r="E549" s="97">
        <f>INDEX(QSGR!$D$16:$D$11170,AC548)</f>
        <v>0</v>
      </c>
      <c r="F549" s="121"/>
      <c r="G549" s="121"/>
      <c r="H549" s="121"/>
      <c r="I549" s="121"/>
      <c r="J549" s="121"/>
      <c r="K549" s="121"/>
      <c r="L549" s="121"/>
      <c r="M549" s="121"/>
      <c r="N549" s="121"/>
      <c r="O549" s="121"/>
      <c r="P549" s="121"/>
      <c r="Q549" s="121"/>
      <c r="R549" s="121"/>
      <c r="S549" s="121"/>
      <c r="T549" s="121"/>
      <c r="U549" s="121"/>
      <c r="V549" s="121"/>
      <c r="W549" s="121"/>
      <c r="X549" s="121"/>
      <c r="Y549" s="121"/>
      <c r="Z549" s="121"/>
      <c r="AA549" s="121"/>
      <c r="AB549" s="121"/>
    </row>
    <row r="550" spans="2:29" ht="13.5" customHeight="1">
      <c r="B550" s="96" t="str">
        <f>CONCATENATE("- Evento: ",INFO!$B$22)</f>
        <v>- Evento: PARTICIPAR DA OPERAÇÃO HORUS.</v>
      </c>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c r="AA550" s="121"/>
      <c r="AB550" s="121"/>
    </row>
    <row r="551" spans="2:29" ht="13.5" customHeight="1">
      <c r="B551" s="98" t="str">
        <f>CONCATENATE("- Documento de Solicitação: ",INFO!$B$24)</f>
        <v>- Documento de Solicitação: TESTE AZUL</v>
      </c>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c r="AA551" s="121"/>
      <c r="AB551" s="121"/>
    </row>
    <row r="552" spans="2:29" ht="13.5" customHeight="1">
      <c r="B552" s="98" t="str">
        <f>CONCATENATE("- Local: ",INFO!$C$18)</f>
        <v>- Local: GUAIRA - PR</v>
      </c>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c r="AA552" s="121"/>
      <c r="AB552" s="121"/>
    </row>
    <row r="553" spans="2:29" ht="13.5" customHeight="1">
      <c r="B553" s="98" t="str">
        <f>CONCATENATE("- Periodo: ",INFO!$C$10," a ",INFO!$C$19)</f>
        <v xml:space="preserve">- Periodo: 22/7/2025  a 23/8/2025 </v>
      </c>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c r="AA553" s="121"/>
      <c r="AB553" s="121"/>
    </row>
    <row r="554" spans="2:29" ht="13.5" customHeight="1">
      <c r="B554" s="98" t="str">
        <f>CONCATENATE("- Nr Dias: ",INFO!$C$20)</f>
        <v>- Nr Dias: 33</v>
      </c>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c r="AA554" s="121"/>
      <c r="AB554" s="121"/>
    </row>
    <row r="555" spans="2:29" ht="13.5" customHeight="1">
      <c r="B555" s="98" t="e">
        <f>CONCATENATE("- Valor Estimado: R$ ",INDEX(QSGR!$J$16:$J$11170,AC548))</f>
        <v>#N/A</v>
      </c>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c r="AA555" s="121"/>
      <c r="AB555" s="121"/>
    </row>
    <row r="556" spans="2:29" ht="13.5" customHeight="1">
      <c r="B556" s="100"/>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c r="AA556" s="121"/>
      <c r="AB556" s="121"/>
    </row>
    <row r="557" spans="2:29" ht="13.5" customHeight="1">
      <c r="B557" s="98" t="s">
        <v>55</v>
      </c>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c r="AA557" s="121"/>
      <c r="AB557" s="121"/>
      <c r="AC557" s="37">
        <f>AC548+1</f>
        <v>62</v>
      </c>
    </row>
    <row r="558" spans="2:29" ht="13.5" customHeight="1">
      <c r="B558" s="99">
        <f>INDEX(QSGR!$B$16:$B$1570,AC557)</f>
        <v>0</v>
      </c>
      <c r="C558" s="121"/>
      <c r="D558" s="121"/>
      <c r="E558" s="97">
        <f>INDEX(QSGR!$D$16:$D$11170,AC557)</f>
        <v>0</v>
      </c>
      <c r="F558" s="121"/>
      <c r="G558" s="121"/>
      <c r="H558" s="121"/>
      <c r="I558" s="121"/>
      <c r="J558" s="121"/>
      <c r="K558" s="121"/>
      <c r="L558" s="121"/>
      <c r="M558" s="121"/>
      <c r="N558" s="121"/>
      <c r="O558" s="121"/>
      <c r="P558" s="121"/>
      <c r="Q558" s="121"/>
      <c r="R558" s="121"/>
      <c r="S558" s="121"/>
      <c r="T558" s="121"/>
      <c r="U558" s="121"/>
      <c r="V558" s="121"/>
      <c r="W558" s="121"/>
      <c r="X558" s="121"/>
      <c r="Y558" s="121"/>
      <c r="Z558" s="121"/>
      <c r="AA558" s="121"/>
      <c r="AB558" s="121"/>
    </row>
    <row r="559" spans="2:29" ht="13.5" customHeight="1">
      <c r="B559" s="96" t="str">
        <f>CONCATENATE("- Evento: ",INFO!$B$22)</f>
        <v>- Evento: PARTICIPAR DA OPERAÇÃO HORUS.</v>
      </c>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c r="AA559" s="121"/>
      <c r="AB559" s="121"/>
    </row>
    <row r="560" spans="2:29" ht="13.5" customHeight="1">
      <c r="B560" s="98" t="str">
        <f>CONCATENATE("- Documento de Solicitação: ",INFO!$B$24)</f>
        <v>- Documento de Solicitação: TESTE AZUL</v>
      </c>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c r="AA560" s="121"/>
      <c r="AB560" s="121"/>
    </row>
    <row r="561" spans="2:29" ht="13.5" customHeight="1">
      <c r="B561" s="98" t="str">
        <f>CONCATENATE("- Local: ",INFO!$C$18)</f>
        <v>- Local: GUAIRA - PR</v>
      </c>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c r="AA561" s="121"/>
      <c r="AB561" s="121"/>
    </row>
    <row r="562" spans="2:29" ht="13.5" customHeight="1">
      <c r="B562" s="98" t="str">
        <f>CONCATENATE("- Periodo: ",INFO!$C$10," a ",INFO!$C$19)</f>
        <v xml:space="preserve">- Periodo: 22/7/2025  a 23/8/2025 </v>
      </c>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c r="AA562" s="121"/>
      <c r="AB562" s="121"/>
    </row>
    <row r="563" spans="2:29" ht="13.5" customHeight="1">
      <c r="B563" s="98" t="str">
        <f>CONCATENATE("- Nr Dias: ",INFO!$C$20)</f>
        <v>- Nr Dias: 33</v>
      </c>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c r="AA563" s="121"/>
      <c r="AB563" s="121"/>
    </row>
    <row r="564" spans="2:29" ht="13.5" customHeight="1">
      <c r="B564" s="98" t="e">
        <f>CONCATENATE("- Valor Estimado: R$ ",INDEX(QSGR!$J$16:$J$11170,AC557))</f>
        <v>#N/A</v>
      </c>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c r="AA564" s="121"/>
      <c r="AB564" s="121"/>
    </row>
    <row r="565" spans="2:29" ht="13.5" customHeight="1">
      <c r="B565" s="100"/>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c r="AA565" s="121"/>
      <c r="AB565" s="121"/>
    </row>
    <row r="566" spans="2:29" ht="13.5" customHeight="1">
      <c r="B566" s="98" t="s">
        <v>55</v>
      </c>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c r="AA566" s="121"/>
      <c r="AB566" s="121"/>
      <c r="AC566" s="37">
        <f>AC557+1</f>
        <v>63</v>
      </c>
    </row>
    <row r="567" spans="2:29" ht="13.5" customHeight="1">
      <c r="B567" s="99">
        <f>INDEX(QSGR!$B$16:$B$1570,AC566)</f>
        <v>0</v>
      </c>
      <c r="C567" s="121"/>
      <c r="D567" s="121"/>
      <c r="E567" s="97">
        <f>INDEX(QSGR!$D$16:$D$11170,AC566)</f>
        <v>0</v>
      </c>
      <c r="F567" s="121"/>
      <c r="G567" s="121"/>
      <c r="H567" s="121"/>
      <c r="I567" s="121"/>
      <c r="J567" s="121"/>
      <c r="K567" s="121"/>
      <c r="L567" s="121"/>
      <c r="M567" s="121"/>
      <c r="N567" s="121"/>
      <c r="O567" s="121"/>
      <c r="P567" s="121"/>
      <c r="Q567" s="121"/>
      <c r="R567" s="121"/>
      <c r="S567" s="121"/>
      <c r="T567" s="121"/>
      <c r="U567" s="121"/>
      <c r="V567" s="121"/>
      <c r="W567" s="121"/>
      <c r="X567" s="121"/>
      <c r="Y567" s="121"/>
      <c r="Z567" s="121"/>
      <c r="AA567" s="121"/>
      <c r="AB567" s="121"/>
    </row>
    <row r="568" spans="2:29" ht="13.5" customHeight="1">
      <c r="B568" s="96" t="str">
        <f>CONCATENATE("- Evento: ",INFO!$B$22)</f>
        <v>- Evento: PARTICIPAR DA OPERAÇÃO HORUS.</v>
      </c>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c r="AA568" s="121"/>
      <c r="AB568" s="121"/>
    </row>
    <row r="569" spans="2:29" ht="13.5" customHeight="1">
      <c r="B569" s="98" t="str">
        <f>CONCATENATE("- Documento de Solicitação: ",INFO!$B$24)</f>
        <v>- Documento de Solicitação: TESTE AZUL</v>
      </c>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c r="AA569" s="121"/>
      <c r="AB569" s="121"/>
    </row>
    <row r="570" spans="2:29" ht="13.5" customHeight="1">
      <c r="B570" s="98" t="str">
        <f>CONCATENATE("- Local: ",INFO!$C$18)</f>
        <v>- Local: GUAIRA - PR</v>
      </c>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c r="AA570" s="121"/>
      <c r="AB570" s="121"/>
    </row>
    <row r="571" spans="2:29" ht="13.5" customHeight="1">
      <c r="B571" s="98" t="str">
        <f>CONCATENATE("- Periodo: ",INFO!$C$10," a ",INFO!$C$19)</f>
        <v xml:space="preserve">- Periodo: 22/7/2025  a 23/8/2025 </v>
      </c>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c r="AA571" s="121"/>
      <c r="AB571" s="121"/>
    </row>
    <row r="572" spans="2:29" ht="13.5" customHeight="1">
      <c r="B572" s="98" t="str">
        <f>CONCATENATE("- Nr Dias: ",INFO!$C$20)</f>
        <v>- Nr Dias: 33</v>
      </c>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c r="AA572" s="121"/>
      <c r="AB572" s="121"/>
    </row>
    <row r="573" spans="2:29" ht="13.5" customHeight="1">
      <c r="B573" s="98" t="e">
        <f>CONCATENATE("- Valor Estimado: R$ ",INDEX(QSGR!$J$16:$J$11170,AC566))</f>
        <v>#N/A</v>
      </c>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c r="AA573" s="121"/>
      <c r="AB573" s="121"/>
    </row>
    <row r="574" spans="2:29" ht="13.5" customHeight="1">
      <c r="B574" s="100"/>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c r="AA574" s="121"/>
      <c r="AB574" s="121"/>
    </row>
    <row r="575" spans="2:29" ht="13.5" customHeight="1">
      <c r="B575" s="98" t="s">
        <v>55</v>
      </c>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c r="AA575" s="121"/>
      <c r="AB575" s="121"/>
      <c r="AC575" s="37">
        <f>AC566+1</f>
        <v>64</v>
      </c>
    </row>
    <row r="576" spans="2:29" ht="13.5" customHeight="1">
      <c r="B576" s="99">
        <f>INDEX(QSGR!$B$16:$B$1570,AC575)</f>
        <v>0</v>
      </c>
      <c r="C576" s="121"/>
      <c r="D576" s="121"/>
      <c r="E576" s="97">
        <f>INDEX(QSGR!$D$16:$D$11170,AC575)</f>
        <v>0</v>
      </c>
      <c r="F576" s="121"/>
      <c r="G576" s="121"/>
      <c r="H576" s="121"/>
      <c r="I576" s="121"/>
      <c r="J576" s="121"/>
      <c r="K576" s="121"/>
      <c r="L576" s="121"/>
      <c r="M576" s="121"/>
      <c r="N576" s="121"/>
      <c r="O576" s="121"/>
      <c r="P576" s="121"/>
      <c r="Q576" s="121"/>
      <c r="R576" s="121"/>
      <c r="S576" s="121"/>
      <c r="T576" s="121"/>
      <c r="U576" s="121"/>
      <c r="V576" s="121"/>
      <c r="W576" s="121"/>
      <c r="X576" s="121"/>
      <c r="Y576" s="121"/>
      <c r="Z576" s="121"/>
      <c r="AA576" s="121"/>
      <c r="AB576" s="121"/>
    </row>
    <row r="577" spans="2:29" ht="13.5" customHeight="1">
      <c r="B577" s="96" t="str">
        <f>CONCATENATE("- Evento: ",INFO!$B$22)</f>
        <v>- Evento: PARTICIPAR DA OPERAÇÃO HORUS.</v>
      </c>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c r="AA577" s="121"/>
      <c r="AB577" s="121"/>
    </row>
    <row r="578" spans="2:29" ht="13.5" customHeight="1">
      <c r="B578" s="98" t="str">
        <f>CONCATENATE("- Documento de Solicitação: ",INFO!$B$24)</f>
        <v>- Documento de Solicitação: TESTE AZUL</v>
      </c>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c r="AA578" s="121"/>
      <c r="AB578" s="121"/>
    </row>
    <row r="579" spans="2:29" ht="13.5" customHeight="1">
      <c r="B579" s="98" t="str">
        <f>CONCATENATE("- Local: ",INFO!$C$18)</f>
        <v>- Local: GUAIRA - PR</v>
      </c>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c r="AA579" s="121"/>
      <c r="AB579" s="121"/>
    </row>
    <row r="580" spans="2:29" ht="13.5" customHeight="1">
      <c r="B580" s="98" t="str">
        <f>CONCATENATE("- Periodo: ",INFO!$C$10," a ",INFO!$C$19)</f>
        <v xml:space="preserve">- Periodo: 22/7/2025  a 23/8/2025 </v>
      </c>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c r="AA580" s="121"/>
      <c r="AB580" s="121"/>
    </row>
    <row r="581" spans="2:29" ht="13.5" customHeight="1">
      <c r="B581" s="98" t="str">
        <f>CONCATENATE("- Nr Dias: ",INFO!$C$20)</f>
        <v>- Nr Dias: 33</v>
      </c>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c r="AA581" s="121"/>
      <c r="AB581" s="121"/>
    </row>
    <row r="582" spans="2:29" ht="13.5" customHeight="1">
      <c r="B582" s="98" t="e">
        <f>CONCATENATE("- Valor Estimado: R$ ",INDEX(QSGR!$J$16:$J$11170,AC575))</f>
        <v>#N/A</v>
      </c>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c r="AA582" s="121"/>
      <c r="AB582" s="121"/>
    </row>
    <row r="583" spans="2:29" ht="13.5" customHeight="1">
      <c r="B583" s="100"/>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c r="AA583" s="121"/>
      <c r="AB583" s="121"/>
    </row>
    <row r="584" spans="2:29" ht="13.5" customHeight="1">
      <c r="B584" s="98" t="s">
        <v>55</v>
      </c>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c r="AA584" s="121"/>
      <c r="AB584" s="121"/>
      <c r="AC584" s="37">
        <f>AC575+1</f>
        <v>65</v>
      </c>
    </row>
    <row r="585" spans="2:29" ht="13.5" customHeight="1">
      <c r="B585" s="99">
        <f>INDEX(QSGR!$B$16:$B$1570,AC584)</f>
        <v>0</v>
      </c>
      <c r="C585" s="121"/>
      <c r="D585" s="121"/>
      <c r="E585" s="97">
        <f>INDEX(QSGR!$D$16:$D$11170,AC584)</f>
        <v>0</v>
      </c>
      <c r="F585" s="121"/>
      <c r="G585" s="121"/>
      <c r="H585" s="121"/>
      <c r="I585" s="121"/>
      <c r="J585" s="121"/>
      <c r="K585" s="121"/>
      <c r="L585" s="121"/>
      <c r="M585" s="121"/>
      <c r="N585" s="121"/>
      <c r="O585" s="121"/>
      <c r="P585" s="121"/>
      <c r="Q585" s="121"/>
      <c r="R585" s="121"/>
      <c r="S585" s="121"/>
      <c r="T585" s="121"/>
      <c r="U585" s="121"/>
      <c r="V585" s="121"/>
      <c r="W585" s="121"/>
      <c r="X585" s="121"/>
      <c r="Y585" s="121"/>
      <c r="Z585" s="121"/>
      <c r="AA585" s="121"/>
      <c r="AB585" s="121"/>
    </row>
    <row r="586" spans="2:29" ht="13.5" customHeight="1">
      <c r="B586" s="96" t="str">
        <f>CONCATENATE("- Evento: ",INFO!$B$22)</f>
        <v>- Evento: PARTICIPAR DA OPERAÇÃO HORUS.</v>
      </c>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c r="AA586" s="121"/>
      <c r="AB586" s="121"/>
    </row>
    <row r="587" spans="2:29" ht="13.5" customHeight="1">
      <c r="B587" s="98" t="str">
        <f>CONCATENATE("- Documento de Solicitação: ",INFO!$B$24)</f>
        <v>- Documento de Solicitação: TESTE AZUL</v>
      </c>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c r="AA587" s="121"/>
      <c r="AB587" s="121"/>
    </row>
    <row r="588" spans="2:29" ht="13.5" customHeight="1">
      <c r="B588" s="98" t="str">
        <f>CONCATENATE("- Local: ",INFO!$C$18)</f>
        <v>- Local: GUAIRA - PR</v>
      </c>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c r="AA588" s="121"/>
      <c r="AB588" s="121"/>
    </row>
    <row r="589" spans="2:29" ht="13.5" customHeight="1">
      <c r="B589" s="98" t="str">
        <f>CONCATENATE("- Periodo: ",INFO!$C$10," a ",INFO!$C$19)</f>
        <v xml:space="preserve">- Periodo: 22/7/2025  a 23/8/2025 </v>
      </c>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c r="AA589" s="121"/>
      <c r="AB589" s="121"/>
    </row>
    <row r="590" spans="2:29" ht="13.5" customHeight="1">
      <c r="B590" s="98" t="str">
        <f>CONCATENATE("- Nr Dias: ",INFO!$C$20)</f>
        <v>- Nr Dias: 33</v>
      </c>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c r="AA590" s="121"/>
      <c r="AB590" s="121"/>
    </row>
    <row r="591" spans="2:29" ht="13.5" customHeight="1">
      <c r="B591" s="98" t="e">
        <f>CONCATENATE("- Valor Estimado: R$ ",INDEX(QSGR!$J$16:$J$11170,AC584))</f>
        <v>#N/A</v>
      </c>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c r="AA591" s="121"/>
      <c r="AB591" s="121"/>
    </row>
    <row r="592" spans="2:29" ht="13.5" customHeight="1">
      <c r="B592" s="100"/>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c r="AA592" s="121"/>
      <c r="AB592" s="121"/>
    </row>
    <row r="593" spans="2:29" ht="13.5" customHeight="1">
      <c r="B593" s="98" t="s">
        <v>55</v>
      </c>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c r="AA593" s="121"/>
      <c r="AB593" s="121"/>
      <c r="AC593" s="37">
        <f>AC584+1</f>
        <v>66</v>
      </c>
    </row>
    <row r="594" spans="2:29" ht="13.5" customHeight="1">
      <c r="B594" s="99">
        <f>INDEX(QSGR!$B$16:$B$1570,AC593)</f>
        <v>0</v>
      </c>
      <c r="C594" s="121"/>
      <c r="D594" s="121"/>
      <c r="E594" s="97">
        <f>INDEX(QSGR!$D$16:$D$11170,AC593)</f>
        <v>0</v>
      </c>
      <c r="F594" s="121"/>
      <c r="G594" s="121"/>
      <c r="H594" s="121"/>
      <c r="I594" s="121"/>
      <c r="J594" s="121"/>
      <c r="K594" s="121"/>
      <c r="L594" s="121"/>
      <c r="M594" s="121"/>
      <c r="N594" s="121"/>
      <c r="O594" s="121"/>
      <c r="P594" s="121"/>
      <c r="Q594" s="121"/>
      <c r="R594" s="121"/>
      <c r="S594" s="121"/>
      <c r="T594" s="121"/>
      <c r="U594" s="121"/>
      <c r="V594" s="121"/>
      <c r="W594" s="121"/>
      <c r="X594" s="121"/>
      <c r="Y594" s="121"/>
      <c r="Z594" s="121"/>
      <c r="AA594" s="121"/>
      <c r="AB594" s="121"/>
    </row>
    <row r="595" spans="2:29" ht="13.5" customHeight="1">
      <c r="B595" s="96" t="str">
        <f>CONCATENATE("- Evento: ",INFO!$B$22)</f>
        <v>- Evento: PARTICIPAR DA OPERAÇÃO HORUS.</v>
      </c>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c r="AA595" s="121"/>
      <c r="AB595" s="121"/>
    </row>
    <row r="596" spans="2:29" ht="13.5" customHeight="1">
      <c r="B596" s="98" t="str">
        <f>CONCATENATE("- Documento de Solicitação: ",INFO!$B$24)</f>
        <v>- Documento de Solicitação: TESTE AZUL</v>
      </c>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c r="AA596" s="121"/>
      <c r="AB596" s="121"/>
    </row>
    <row r="597" spans="2:29" ht="13.5" customHeight="1">
      <c r="B597" s="98" t="str">
        <f>CONCATENATE("- Local: ",INFO!$C$18)</f>
        <v>- Local: GUAIRA - PR</v>
      </c>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c r="AA597" s="121"/>
      <c r="AB597" s="121"/>
    </row>
    <row r="598" spans="2:29" ht="13.5" customHeight="1">
      <c r="B598" s="98" t="str">
        <f>CONCATENATE("- Periodo: ",INFO!$C$10," a ",INFO!$C$19)</f>
        <v xml:space="preserve">- Periodo: 22/7/2025  a 23/8/2025 </v>
      </c>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c r="AA598" s="121"/>
      <c r="AB598" s="121"/>
    </row>
    <row r="599" spans="2:29" ht="13.5" customHeight="1">
      <c r="B599" s="98" t="str">
        <f>CONCATENATE("- Nr Dias: ",INFO!$C$20)</f>
        <v>- Nr Dias: 33</v>
      </c>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c r="AA599" s="121"/>
      <c r="AB599" s="121"/>
    </row>
    <row r="600" spans="2:29" ht="13.5" customHeight="1">
      <c r="B600" s="98" t="e">
        <f>CONCATENATE("- Valor Estimado: R$ ",INDEX(QSGR!$J$16:$J$11170,AC593))</f>
        <v>#N/A</v>
      </c>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c r="AA600" s="121"/>
      <c r="AB600" s="121"/>
    </row>
    <row r="601" spans="2:29" ht="13.5" customHeight="1">
      <c r="B601" s="100"/>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c r="AA601" s="121"/>
      <c r="AB601" s="121"/>
    </row>
    <row r="602" spans="2:29" ht="13.5" customHeight="1">
      <c r="B602" s="98" t="s">
        <v>55</v>
      </c>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c r="AA602" s="121"/>
      <c r="AB602" s="121"/>
      <c r="AC602" s="37">
        <f>AC593+1</f>
        <v>67</v>
      </c>
    </row>
    <row r="603" spans="2:29" ht="13.5" customHeight="1">
      <c r="B603" s="99">
        <f>INDEX(QSGR!$B$16:$B$1570,AC602)</f>
        <v>0</v>
      </c>
      <c r="C603" s="121"/>
      <c r="D603" s="121"/>
      <c r="E603" s="97">
        <f>INDEX(QSGR!$D$16:$D$11170,AC602)</f>
        <v>0</v>
      </c>
      <c r="F603" s="121"/>
      <c r="G603" s="121"/>
      <c r="H603" s="121"/>
      <c r="I603" s="121"/>
      <c r="J603" s="121"/>
      <c r="K603" s="121"/>
      <c r="L603" s="121"/>
      <c r="M603" s="121"/>
      <c r="N603" s="121"/>
      <c r="O603" s="121"/>
      <c r="P603" s="121"/>
      <c r="Q603" s="121"/>
      <c r="R603" s="121"/>
      <c r="S603" s="121"/>
      <c r="T603" s="121"/>
      <c r="U603" s="121"/>
      <c r="V603" s="121"/>
      <c r="W603" s="121"/>
      <c r="X603" s="121"/>
      <c r="Y603" s="121"/>
      <c r="Z603" s="121"/>
      <c r="AA603" s="121"/>
      <c r="AB603" s="121"/>
    </row>
    <row r="604" spans="2:29" ht="13.5" customHeight="1">
      <c r="B604" s="96" t="str">
        <f>CONCATENATE("- Evento: ",INFO!$B$22)</f>
        <v>- Evento: PARTICIPAR DA OPERAÇÃO HORUS.</v>
      </c>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c r="AA604" s="121"/>
      <c r="AB604" s="121"/>
    </row>
    <row r="605" spans="2:29" ht="13.5" customHeight="1">
      <c r="B605" s="98" t="str">
        <f>CONCATENATE("- Documento de Solicitação: ",INFO!$B$24)</f>
        <v>- Documento de Solicitação: TESTE AZUL</v>
      </c>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c r="AA605" s="121"/>
      <c r="AB605" s="121"/>
    </row>
    <row r="606" spans="2:29" ht="13.5" customHeight="1">
      <c r="B606" s="98" t="str">
        <f>CONCATENATE("- Local: ",INFO!$C$18)</f>
        <v>- Local: GUAIRA - PR</v>
      </c>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c r="AA606" s="121"/>
      <c r="AB606" s="121"/>
    </row>
    <row r="607" spans="2:29" ht="13.5" customHeight="1">
      <c r="B607" s="98" t="str">
        <f>CONCATENATE("- Periodo: ",INFO!$C$10," a ",INFO!$C$19)</f>
        <v xml:space="preserve">- Periodo: 22/7/2025  a 23/8/2025 </v>
      </c>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c r="AA607" s="121"/>
      <c r="AB607" s="121"/>
    </row>
    <row r="608" spans="2:29" ht="13.5" customHeight="1">
      <c r="B608" s="98" t="str">
        <f>CONCATENATE("- Nr Dias: ",INFO!$C$20)</f>
        <v>- Nr Dias: 33</v>
      </c>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c r="AA608" s="121"/>
      <c r="AB608" s="121"/>
    </row>
    <row r="609" spans="2:29" ht="13.5" customHeight="1">
      <c r="B609" s="98" t="e">
        <f>CONCATENATE("- Valor Estimado: R$ ",INDEX(QSGR!$J$16:$J$11170,AC602))</f>
        <v>#N/A</v>
      </c>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c r="AA609" s="121"/>
      <c r="AB609" s="121"/>
    </row>
    <row r="610" spans="2:29" ht="13.5" customHeight="1">
      <c r="B610" s="100"/>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c r="AA610" s="121"/>
      <c r="AB610" s="121"/>
    </row>
    <row r="611" spans="2:29" ht="13.5" customHeight="1">
      <c r="B611" s="98" t="s">
        <v>55</v>
      </c>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c r="AA611" s="121"/>
      <c r="AB611" s="121"/>
      <c r="AC611" s="37">
        <f>AC602+1</f>
        <v>68</v>
      </c>
    </row>
    <row r="612" spans="2:29" ht="13.5" customHeight="1">
      <c r="B612" s="99">
        <f>INDEX(QSGR!$B$16:$B$1570,AC611)</f>
        <v>0</v>
      </c>
      <c r="C612" s="121"/>
      <c r="D612" s="121"/>
      <c r="E612" s="97">
        <f>INDEX(QSGR!$D$16:$D$11170,AC611)</f>
        <v>0</v>
      </c>
      <c r="F612" s="121"/>
      <c r="G612" s="121"/>
      <c r="H612" s="121"/>
      <c r="I612" s="121"/>
      <c r="J612" s="121"/>
      <c r="K612" s="121"/>
      <c r="L612" s="121"/>
      <c r="M612" s="121"/>
      <c r="N612" s="121"/>
      <c r="O612" s="121"/>
      <c r="P612" s="121"/>
      <c r="Q612" s="121"/>
      <c r="R612" s="121"/>
      <c r="S612" s="121"/>
      <c r="T612" s="121"/>
      <c r="U612" s="121"/>
      <c r="V612" s="121"/>
      <c r="W612" s="121"/>
      <c r="X612" s="121"/>
      <c r="Y612" s="121"/>
      <c r="Z612" s="121"/>
      <c r="AA612" s="121"/>
      <c r="AB612" s="121"/>
    </row>
    <row r="613" spans="2:29" ht="13.5" customHeight="1">
      <c r="B613" s="96" t="str">
        <f>CONCATENATE("- Evento: ",INFO!$B$22)</f>
        <v>- Evento: PARTICIPAR DA OPERAÇÃO HORUS.</v>
      </c>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c r="AA613" s="121"/>
      <c r="AB613" s="121"/>
    </row>
    <row r="614" spans="2:29" ht="13.5" customHeight="1">
      <c r="B614" s="98" t="str">
        <f>CONCATENATE("- Documento de Solicitação: ",INFO!$B$24)</f>
        <v>- Documento de Solicitação: TESTE AZUL</v>
      </c>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c r="AA614" s="121"/>
      <c r="AB614" s="121"/>
    </row>
    <row r="615" spans="2:29" ht="13.5" customHeight="1">
      <c r="B615" s="98" t="str">
        <f>CONCATENATE("- Local: ",INFO!$C$18)</f>
        <v>- Local: GUAIRA - PR</v>
      </c>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c r="AA615" s="121"/>
      <c r="AB615" s="121"/>
    </row>
    <row r="616" spans="2:29" ht="13.5" customHeight="1">
      <c r="B616" s="98" t="str">
        <f>CONCATENATE("- Periodo: ",INFO!$C$10," a ",INFO!$C$19)</f>
        <v xml:space="preserve">- Periodo: 22/7/2025  a 23/8/2025 </v>
      </c>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c r="AA616" s="121"/>
      <c r="AB616" s="121"/>
    </row>
    <row r="617" spans="2:29" ht="13.5" customHeight="1">
      <c r="B617" s="98" t="str">
        <f>CONCATENATE("- Nr Dias: ",INFO!$C$20)</f>
        <v>- Nr Dias: 33</v>
      </c>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c r="AA617" s="121"/>
      <c r="AB617" s="121"/>
    </row>
    <row r="618" spans="2:29" ht="13.5" customHeight="1">
      <c r="B618" s="98" t="e">
        <f>CONCATENATE("- Valor Estimado: R$ ",INDEX(QSGR!$J$16:$J$11170,AC611))</f>
        <v>#N/A</v>
      </c>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c r="AA618" s="121"/>
      <c r="AB618" s="121"/>
    </row>
    <row r="619" spans="2:29" ht="13.5" customHeight="1">
      <c r="B619" s="100"/>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c r="AA619" s="121"/>
      <c r="AB619" s="121"/>
    </row>
    <row r="620" spans="2:29" ht="13.5" customHeight="1">
      <c r="B620" s="98" t="s">
        <v>55</v>
      </c>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c r="AA620" s="121"/>
      <c r="AB620" s="121"/>
      <c r="AC620" s="37">
        <f>AC611+1</f>
        <v>69</v>
      </c>
    </row>
    <row r="621" spans="2:29" ht="13.5" customHeight="1">
      <c r="B621" s="99">
        <f>INDEX(QSGR!$B$16:$B$1570,AC620)</f>
        <v>0</v>
      </c>
      <c r="C621" s="121"/>
      <c r="D621" s="121"/>
      <c r="E621" s="97">
        <f>INDEX(QSGR!$D$16:$D$11170,AC620)</f>
        <v>0</v>
      </c>
      <c r="F621" s="121"/>
      <c r="G621" s="121"/>
      <c r="H621" s="121"/>
      <c r="I621" s="121"/>
      <c r="J621" s="121"/>
      <c r="K621" s="121"/>
      <c r="L621" s="121"/>
      <c r="M621" s="121"/>
      <c r="N621" s="121"/>
      <c r="O621" s="121"/>
      <c r="P621" s="121"/>
      <c r="Q621" s="121"/>
      <c r="R621" s="121"/>
      <c r="S621" s="121"/>
      <c r="T621" s="121"/>
      <c r="U621" s="121"/>
      <c r="V621" s="121"/>
      <c r="W621" s="121"/>
      <c r="X621" s="121"/>
      <c r="Y621" s="121"/>
      <c r="Z621" s="121"/>
      <c r="AA621" s="121"/>
      <c r="AB621" s="121"/>
    </row>
    <row r="622" spans="2:29" ht="13.5" customHeight="1">
      <c r="B622" s="96" t="str">
        <f>CONCATENATE("- Evento: ",INFO!$B$22)</f>
        <v>- Evento: PARTICIPAR DA OPERAÇÃO HORUS.</v>
      </c>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c r="AA622" s="121"/>
      <c r="AB622" s="121"/>
    </row>
    <row r="623" spans="2:29" ht="13.5" customHeight="1">
      <c r="B623" s="98" t="str">
        <f>CONCATENATE("- Documento de Solicitação: ",INFO!$B$24)</f>
        <v>- Documento de Solicitação: TESTE AZUL</v>
      </c>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c r="AA623" s="121"/>
      <c r="AB623" s="121"/>
    </row>
    <row r="624" spans="2:29" ht="13.5" customHeight="1">
      <c r="B624" s="98" t="str">
        <f>CONCATENATE("- Local: ",INFO!$C$18)</f>
        <v>- Local: GUAIRA - PR</v>
      </c>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c r="AA624" s="121"/>
      <c r="AB624" s="121"/>
    </row>
    <row r="625" spans="2:29" ht="13.5" customHeight="1">
      <c r="B625" s="98" t="str">
        <f>CONCATENATE("- Periodo: ",INFO!$C$10," a ",INFO!$C$19)</f>
        <v xml:space="preserve">- Periodo: 22/7/2025  a 23/8/2025 </v>
      </c>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c r="AA625" s="121"/>
      <c r="AB625" s="121"/>
    </row>
    <row r="626" spans="2:29" ht="13.5" customHeight="1">
      <c r="B626" s="98" t="str">
        <f>CONCATENATE("- Nr Dias: ",INFO!$C$20)</f>
        <v>- Nr Dias: 33</v>
      </c>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c r="AA626" s="121"/>
      <c r="AB626" s="121"/>
    </row>
    <row r="627" spans="2:29" ht="13.5" customHeight="1">
      <c r="B627" s="98" t="e">
        <f>CONCATENATE("- Valor Estimado: R$ ",INDEX(QSGR!$J$16:$J$11170,AC620))</f>
        <v>#N/A</v>
      </c>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c r="AA627" s="121"/>
      <c r="AB627" s="121"/>
    </row>
    <row r="628" spans="2:29" ht="13.5" customHeight="1">
      <c r="B628" s="100"/>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c r="AA628" s="121"/>
      <c r="AB628" s="121"/>
    </row>
    <row r="629" spans="2:29" ht="13.5" customHeight="1">
      <c r="B629" s="98" t="s">
        <v>55</v>
      </c>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c r="AA629" s="121"/>
      <c r="AB629" s="121"/>
      <c r="AC629" s="37">
        <f>AC620+1</f>
        <v>70</v>
      </c>
    </row>
    <row r="630" spans="2:29" ht="13.5" customHeight="1">
      <c r="B630" s="99">
        <f>INDEX(QSGR!$B$16:$B$1570,AC629)</f>
        <v>0</v>
      </c>
      <c r="C630" s="121"/>
      <c r="D630" s="121"/>
      <c r="E630" s="97">
        <f>INDEX(QSGR!$D$16:$D$11170,AC629)</f>
        <v>0</v>
      </c>
      <c r="F630" s="121"/>
      <c r="G630" s="121"/>
      <c r="H630" s="121"/>
      <c r="I630" s="121"/>
      <c r="J630" s="121"/>
      <c r="K630" s="121"/>
      <c r="L630" s="121"/>
      <c r="M630" s="121"/>
      <c r="N630" s="121"/>
      <c r="O630" s="121"/>
      <c r="P630" s="121"/>
      <c r="Q630" s="121"/>
      <c r="R630" s="121"/>
      <c r="S630" s="121"/>
      <c r="T630" s="121"/>
      <c r="U630" s="121"/>
      <c r="V630" s="121"/>
      <c r="W630" s="121"/>
      <c r="X630" s="121"/>
      <c r="Y630" s="121"/>
      <c r="Z630" s="121"/>
      <c r="AA630" s="121"/>
      <c r="AB630" s="121"/>
    </row>
    <row r="631" spans="2:29" ht="13.5" customHeight="1">
      <c r="B631" s="96" t="str">
        <f>CONCATENATE("- Evento: ",INFO!$B$22)</f>
        <v>- Evento: PARTICIPAR DA OPERAÇÃO HORUS.</v>
      </c>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c r="AA631" s="121"/>
      <c r="AB631" s="121"/>
    </row>
    <row r="632" spans="2:29" ht="13.5" customHeight="1">
      <c r="B632" s="98" t="str">
        <f>CONCATENATE("- Documento de Solicitação: ",INFO!$B$24)</f>
        <v>- Documento de Solicitação: TESTE AZUL</v>
      </c>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c r="AA632" s="121"/>
      <c r="AB632" s="121"/>
    </row>
    <row r="633" spans="2:29" ht="13.5" customHeight="1">
      <c r="B633" s="98" t="str">
        <f>CONCATENATE("- Local: ",INFO!$C$18)</f>
        <v>- Local: GUAIRA - PR</v>
      </c>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c r="AA633" s="121"/>
      <c r="AB633" s="121"/>
    </row>
    <row r="634" spans="2:29" ht="13.5" customHeight="1">
      <c r="B634" s="98" t="str">
        <f>CONCATENATE("- Periodo: ",INFO!$C$10," a ",INFO!$C$19)</f>
        <v xml:space="preserve">- Periodo: 22/7/2025  a 23/8/2025 </v>
      </c>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c r="AA634" s="121"/>
      <c r="AB634" s="121"/>
    </row>
    <row r="635" spans="2:29" ht="13.5" customHeight="1">
      <c r="B635" s="98" t="str">
        <f>CONCATENATE("- Nr Dias: ",INFO!$C$20)</f>
        <v>- Nr Dias: 33</v>
      </c>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c r="AA635" s="121"/>
      <c r="AB635" s="121"/>
    </row>
    <row r="636" spans="2:29" ht="13.5" customHeight="1">
      <c r="B636" s="98" t="e">
        <f>CONCATENATE("- Valor Estimado: R$ ",INDEX(QSGR!$J$16:$J$11170,AC629))</f>
        <v>#N/A</v>
      </c>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c r="AA636" s="121"/>
      <c r="AB636" s="121"/>
    </row>
    <row r="637" spans="2:29" ht="13.5" customHeight="1">
      <c r="B637" s="100"/>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c r="AA637" s="121"/>
      <c r="AB637" s="121"/>
    </row>
    <row r="638" spans="2:29" ht="13.5" customHeight="1">
      <c r="B638" s="98" t="s">
        <v>55</v>
      </c>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c r="AA638" s="121"/>
      <c r="AB638" s="121"/>
      <c r="AC638" s="37">
        <f>AC629+1</f>
        <v>71</v>
      </c>
    </row>
    <row r="639" spans="2:29" ht="13.5" customHeight="1">
      <c r="B639" s="99">
        <f>INDEX(QSGR!$B$16:$B$1570,AC638)</f>
        <v>0</v>
      </c>
      <c r="C639" s="121"/>
      <c r="D639" s="121"/>
      <c r="E639" s="97">
        <f>INDEX(QSGR!$D$16:$D$11170,AC638)</f>
        <v>0</v>
      </c>
      <c r="F639" s="121"/>
      <c r="G639" s="121"/>
      <c r="H639" s="121"/>
      <c r="I639" s="121"/>
      <c r="J639" s="121"/>
      <c r="K639" s="121"/>
      <c r="L639" s="121"/>
      <c r="M639" s="121"/>
      <c r="N639" s="121"/>
      <c r="O639" s="121"/>
      <c r="P639" s="121"/>
      <c r="Q639" s="121"/>
      <c r="R639" s="121"/>
      <c r="S639" s="121"/>
      <c r="T639" s="121"/>
      <c r="U639" s="121"/>
      <c r="V639" s="121"/>
      <c r="W639" s="121"/>
      <c r="X639" s="121"/>
      <c r="Y639" s="121"/>
      <c r="Z639" s="121"/>
      <c r="AA639" s="121"/>
      <c r="AB639" s="121"/>
    </row>
    <row r="640" spans="2:29" ht="13.5" customHeight="1">
      <c r="B640" s="96" t="str">
        <f>CONCATENATE("- Evento: ",INFO!$B$22)</f>
        <v>- Evento: PARTICIPAR DA OPERAÇÃO HORUS.</v>
      </c>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c r="AA640" s="121"/>
      <c r="AB640" s="121"/>
    </row>
    <row r="641" spans="2:29" ht="13.5" customHeight="1">
      <c r="B641" s="98" t="str">
        <f>CONCATENATE("- Documento de Solicitação: ",INFO!$B$24)</f>
        <v>- Documento de Solicitação: TESTE AZUL</v>
      </c>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c r="AA641" s="121"/>
      <c r="AB641" s="121"/>
    </row>
    <row r="642" spans="2:29" ht="13.5" customHeight="1">
      <c r="B642" s="98" t="str">
        <f>CONCATENATE("- Local: ",INFO!$C$18)</f>
        <v>- Local: GUAIRA - PR</v>
      </c>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c r="AA642" s="121"/>
      <c r="AB642" s="121"/>
    </row>
    <row r="643" spans="2:29" ht="13.5" customHeight="1">
      <c r="B643" s="98" t="str">
        <f>CONCATENATE("- Periodo: ",INFO!$C$10," a ",INFO!$C$19)</f>
        <v xml:space="preserve">- Periodo: 22/7/2025  a 23/8/2025 </v>
      </c>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c r="AA643" s="121"/>
      <c r="AB643" s="121"/>
    </row>
    <row r="644" spans="2:29" ht="13.5" customHeight="1">
      <c r="B644" s="98" t="str">
        <f>CONCATENATE("- Nr Dias: ",INFO!$C$20)</f>
        <v>- Nr Dias: 33</v>
      </c>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c r="AA644" s="121"/>
      <c r="AB644" s="121"/>
    </row>
    <row r="645" spans="2:29" ht="13.5" customHeight="1">
      <c r="B645" s="98" t="e">
        <f>CONCATENATE("- Valor Estimado: R$ ",INDEX(QSGR!$J$16:$J$11170,AC638))</f>
        <v>#N/A</v>
      </c>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c r="AA645" s="121"/>
      <c r="AB645" s="121"/>
    </row>
    <row r="646" spans="2:29" ht="13.5" customHeight="1">
      <c r="B646" s="100"/>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c r="AA646" s="121"/>
      <c r="AB646" s="121"/>
    </row>
    <row r="647" spans="2:29" ht="13.5" customHeight="1">
      <c r="B647" s="98" t="s">
        <v>55</v>
      </c>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c r="AA647" s="121"/>
      <c r="AB647" s="121"/>
      <c r="AC647" s="37">
        <f>AC638+1</f>
        <v>72</v>
      </c>
    </row>
    <row r="648" spans="2:29" ht="13.5" customHeight="1">
      <c r="B648" s="99">
        <f>INDEX(QSGR!$B$16:$B$1570,AC647)</f>
        <v>0</v>
      </c>
      <c r="C648" s="121"/>
      <c r="D648" s="121"/>
      <c r="E648" s="97">
        <f>INDEX(QSGR!$D$16:$D$11170,AC647)</f>
        <v>0</v>
      </c>
      <c r="F648" s="121"/>
      <c r="G648" s="121"/>
      <c r="H648" s="121"/>
      <c r="I648" s="121"/>
      <c r="J648" s="121"/>
      <c r="K648" s="121"/>
      <c r="L648" s="121"/>
      <c r="M648" s="121"/>
      <c r="N648" s="121"/>
      <c r="O648" s="121"/>
      <c r="P648" s="121"/>
      <c r="Q648" s="121"/>
      <c r="R648" s="121"/>
      <c r="S648" s="121"/>
      <c r="T648" s="121"/>
      <c r="U648" s="121"/>
      <c r="V648" s="121"/>
      <c r="W648" s="121"/>
      <c r="X648" s="121"/>
      <c r="Y648" s="121"/>
      <c r="Z648" s="121"/>
      <c r="AA648" s="121"/>
      <c r="AB648" s="121"/>
    </row>
    <row r="649" spans="2:29" ht="13.5" customHeight="1">
      <c r="B649" s="96" t="str">
        <f>CONCATENATE("- Evento: ",INFO!$B$22)</f>
        <v>- Evento: PARTICIPAR DA OPERAÇÃO HORUS.</v>
      </c>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c r="AA649" s="121"/>
      <c r="AB649" s="121"/>
    </row>
    <row r="650" spans="2:29" ht="13.5" customHeight="1">
      <c r="B650" s="98" t="str">
        <f>CONCATENATE("- Documento de Solicitação: ",INFO!$B$24)</f>
        <v>- Documento de Solicitação: TESTE AZUL</v>
      </c>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c r="AA650" s="121"/>
      <c r="AB650" s="121"/>
    </row>
    <row r="651" spans="2:29" ht="13.5" customHeight="1">
      <c r="B651" s="98" t="str">
        <f>CONCATENATE("- Local: ",INFO!$C$18)</f>
        <v>- Local: GUAIRA - PR</v>
      </c>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c r="AA651" s="121"/>
      <c r="AB651" s="121"/>
    </row>
    <row r="652" spans="2:29" ht="13.5" customHeight="1">
      <c r="B652" s="98" t="str">
        <f>CONCATENATE("- Periodo: ",INFO!$C$10," a ",INFO!$C$19)</f>
        <v xml:space="preserve">- Periodo: 22/7/2025  a 23/8/2025 </v>
      </c>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c r="AA652" s="121"/>
      <c r="AB652" s="121"/>
    </row>
    <row r="653" spans="2:29" ht="13.5" customHeight="1">
      <c r="B653" s="98" t="str">
        <f>CONCATENATE("- Nr Dias: ",INFO!$C$20)</f>
        <v>- Nr Dias: 33</v>
      </c>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c r="AA653" s="121"/>
      <c r="AB653" s="121"/>
    </row>
    <row r="654" spans="2:29" ht="13.5" customHeight="1">
      <c r="B654" s="98" t="e">
        <f>CONCATENATE("- Valor Estimado: R$ ",INDEX(QSGR!$J$16:$J$11170,AC647))</f>
        <v>#N/A</v>
      </c>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c r="AA654" s="121"/>
      <c r="AB654" s="121"/>
    </row>
    <row r="655" spans="2:29" ht="13.5" customHeight="1">
      <c r="B655" s="100"/>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c r="AA655" s="121"/>
      <c r="AB655" s="121"/>
    </row>
    <row r="656" spans="2:29" ht="13.5" customHeight="1">
      <c r="B656" s="98" t="s">
        <v>55</v>
      </c>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c r="AA656" s="121"/>
      <c r="AB656" s="121"/>
      <c r="AC656" s="37">
        <f>AC647+1</f>
        <v>73</v>
      </c>
    </row>
    <row r="657" spans="2:29" ht="13.5" customHeight="1">
      <c r="B657" s="99">
        <f>INDEX(QSGR!$B$16:$B$1570,AC656)</f>
        <v>0</v>
      </c>
      <c r="C657" s="121"/>
      <c r="D657" s="121"/>
      <c r="E657" s="97">
        <f>INDEX(QSGR!$D$16:$D$11170,AC656)</f>
        <v>0</v>
      </c>
      <c r="F657" s="121"/>
      <c r="G657" s="121"/>
      <c r="H657" s="121"/>
      <c r="I657" s="121"/>
      <c r="J657" s="121"/>
      <c r="K657" s="121"/>
      <c r="L657" s="121"/>
      <c r="M657" s="121"/>
      <c r="N657" s="121"/>
      <c r="O657" s="121"/>
      <c r="P657" s="121"/>
      <c r="Q657" s="121"/>
      <c r="R657" s="121"/>
      <c r="S657" s="121"/>
      <c r="T657" s="121"/>
      <c r="U657" s="121"/>
      <c r="V657" s="121"/>
      <c r="W657" s="121"/>
      <c r="X657" s="121"/>
      <c r="Y657" s="121"/>
      <c r="Z657" s="121"/>
      <c r="AA657" s="121"/>
      <c r="AB657" s="121"/>
    </row>
    <row r="658" spans="2:29" ht="13.5" customHeight="1">
      <c r="B658" s="96" t="str">
        <f>CONCATENATE("- Evento: ",INFO!$B$22)</f>
        <v>- Evento: PARTICIPAR DA OPERAÇÃO HORUS.</v>
      </c>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c r="AA658" s="121"/>
      <c r="AB658" s="121"/>
    </row>
    <row r="659" spans="2:29" ht="13.5" customHeight="1">
      <c r="B659" s="98" t="str">
        <f>CONCATENATE("- Documento de Solicitação: ",INFO!$B$24)</f>
        <v>- Documento de Solicitação: TESTE AZUL</v>
      </c>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c r="AA659" s="121"/>
      <c r="AB659" s="121"/>
    </row>
    <row r="660" spans="2:29" ht="13.5" customHeight="1">
      <c r="B660" s="98" t="str">
        <f>CONCATENATE("- Local: ",INFO!$C$18)</f>
        <v>- Local: GUAIRA - PR</v>
      </c>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c r="AA660" s="121"/>
      <c r="AB660" s="121"/>
    </row>
    <row r="661" spans="2:29" ht="13.5" customHeight="1">
      <c r="B661" s="98" t="str">
        <f>CONCATENATE("- Periodo: ",INFO!$C$10," a ",INFO!$C$19)</f>
        <v xml:space="preserve">- Periodo: 22/7/2025  a 23/8/2025 </v>
      </c>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c r="AA661" s="121"/>
      <c r="AB661" s="121"/>
    </row>
    <row r="662" spans="2:29" ht="13.5" customHeight="1">
      <c r="B662" s="98" t="str">
        <f>CONCATENATE("- Nr Dias: ",INFO!$C$20)</f>
        <v>- Nr Dias: 33</v>
      </c>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c r="AA662" s="121"/>
      <c r="AB662" s="121"/>
    </row>
    <row r="663" spans="2:29" ht="13.5" customHeight="1">
      <c r="B663" s="98" t="e">
        <f>CONCATENATE("- Valor Estimado: R$ ",INDEX(QSGR!$J$16:$J$11170,AC656))</f>
        <v>#N/A</v>
      </c>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c r="AA663" s="121"/>
      <c r="AB663" s="121"/>
    </row>
    <row r="664" spans="2:29" ht="13.5" customHeight="1">
      <c r="B664" s="100"/>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c r="AA664" s="121"/>
      <c r="AB664" s="121"/>
    </row>
    <row r="665" spans="2:29" ht="13.5" customHeight="1">
      <c r="B665" s="98" t="s">
        <v>55</v>
      </c>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c r="AA665" s="121"/>
      <c r="AB665" s="121"/>
      <c r="AC665" s="37">
        <f>AC656+1</f>
        <v>74</v>
      </c>
    </row>
    <row r="666" spans="2:29" ht="13.5" customHeight="1">
      <c r="B666" s="99">
        <f>INDEX(QSGR!$B$16:$B$1570,AC665)</f>
        <v>0</v>
      </c>
      <c r="C666" s="121"/>
      <c r="D666" s="121"/>
      <c r="E666" s="97">
        <f>INDEX(QSGR!$D$16:$D$11170,AC665)</f>
        <v>0</v>
      </c>
      <c r="F666" s="121"/>
      <c r="G666" s="121"/>
      <c r="H666" s="121"/>
      <c r="I666" s="121"/>
      <c r="J666" s="121"/>
      <c r="K666" s="121"/>
      <c r="L666" s="121"/>
      <c r="M666" s="121"/>
      <c r="N666" s="121"/>
      <c r="O666" s="121"/>
      <c r="P666" s="121"/>
      <c r="Q666" s="121"/>
      <c r="R666" s="121"/>
      <c r="S666" s="121"/>
      <c r="T666" s="121"/>
      <c r="U666" s="121"/>
      <c r="V666" s="121"/>
      <c r="W666" s="121"/>
      <c r="X666" s="121"/>
      <c r="Y666" s="121"/>
      <c r="Z666" s="121"/>
      <c r="AA666" s="121"/>
      <c r="AB666" s="121"/>
    </row>
    <row r="667" spans="2:29" ht="13.5" customHeight="1">
      <c r="B667" s="96" t="str">
        <f>CONCATENATE("- Evento: ",INFO!$B$22)</f>
        <v>- Evento: PARTICIPAR DA OPERAÇÃO HORUS.</v>
      </c>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c r="AA667" s="121"/>
      <c r="AB667" s="121"/>
    </row>
    <row r="668" spans="2:29" ht="13.5" customHeight="1">
      <c r="B668" s="98" t="str">
        <f>CONCATENATE("- Documento de Solicitação: ",INFO!$B$24)</f>
        <v>- Documento de Solicitação: TESTE AZUL</v>
      </c>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c r="AA668" s="121"/>
      <c r="AB668" s="121"/>
    </row>
    <row r="669" spans="2:29" ht="13.5" customHeight="1">
      <c r="B669" s="98" t="str">
        <f>CONCATENATE("- Local: ",INFO!$C$18)</f>
        <v>- Local: GUAIRA - PR</v>
      </c>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c r="AA669" s="121"/>
      <c r="AB669" s="121"/>
    </row>
    <row r="670" spans="2:29" ht="13.5" customHeight="1">
      <c r="B670" s="98" t="str">
        <f>CONCATENATE("- Periodo: ",INFO!$C$10," a ",INFO!$C$19)</f>
        <v xml:space="preserve">- Periodo: 22/7/2025  a 23/8/2025 </v>
      </c>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c r="AA670" s="121"/>
      <c r="AB670" s="121"/>
    </row>
    <row r="671" spans="2:29" ht="13.5" customHeight="1">
      <c r="B671" s="98" t="str">
        <f>CONCATENATE("- Nr Dias: ",INFO!$C$20)</f>
        <v>- Nr Dias: 33</v>
      </c>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c r="AA671" s="121"/>
      <c r="AB671" s="121"/>
    </row>
    <row r="672" spans="2:29" ht="13.5" customHeight="1">
      <c r="B672" s="98" t="e">
        <f>CONCATENATE("- Valor Estimado: R$ ",INDEX(QSGR!$J$16:$J$11170,AC665))</f>
        <v>#N/A</v>
      </c>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c r="AA672" s="121"/>
      <c r="AB672" s="121"/>
    </row>
    <row r="673" spans="2:29" ht="13.5" customHeight="1">
      <c r="B673" s="100"/>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c r="AA673" s="121"/>
      <c r="AB673" s="121"/>
    </row>
    <row r="674" spans="2:29" ht="13.5" customHeight="1">
      <c r="B674" s="98" t="s">
        <v>55</v>
      </c>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c r="AA674" s="121"/>
      <c r="AB674" s="121"/>
      <c r="AC674" s="37">
        <f>AC665+1</f>
        <v>75</v>
      </c>
    </row>
    <row r="675" spans="2:29" ht="13.5" customHeight="1">
      <c r="B675" s="99">
        <f>INDEX(QSGR!$B$16:$B$1570,AC674)</f>
        <v>0</v>
      </c>
      <c r="C675" s="121"/>
      <c r="D675" s="121"/>
      <c r="E675" s="97">
        <f>INDEX(QSGR!$D$16:$D$11170,AC674)</f>
        <v>0</v>
      </c>
      <c r="F675" s="121"/>
      <c r="G675" s="121"/>
      <c r="H675" s="121"/>
      <c r="I675" s="121"/>
      <c r="J675" s="121"/>
      <c r="K675" s="121"/>
      <c r="L675" s="121"/>
      <c r="M675" s="121"/>
      <c r="N675" s="121"/>
      <c r="O675" s="121"/>
      <c r="P675" s="121"/>
      <c r="Q675" s="121"/>
      <c r="R675" s="121"/>
      <c r="S675" s="121"/>
      <c r="T675" s="121"/>
      <c r="U675" s="121"/>
      <c r="V675" s="121"/>
      <c r="W675" s="121"/>
      <c r="X675" s="121"/>
      <c r="Y675" s="121"/>
      <c r="Z675" s="121"/>
      <c r="AA675" s="121"/>
      <c r="AB675" s="121"/>
    </row>
    <row r="676" spans="2:29" ht="13.5" customHeight="1">
      <c r="B676" s="96" t="str">
        <f>CONCATENATE("- Evento: ",INFO!$B$22)</f>
        <v>- Evento: PARTICIPAR DA OPERAÇÃO HORUS.</v>
      </c>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c r="AA676" s="121"/>
      <c r="AB676" s="121"/>
    </row>
    <row r="677" spans="2:29" ht="13.5" customHeight="1">
      <c r="B677" s="98" t="str">
        <f>CONCATENATE("- Documento de Solicitação: ",INFO!$B$24)</f>
        <v>- Documento de Solicitação: TESTE AZUL</v>
      </c>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c r="AA677" s="121"/>
      <c r="AB677" s="121"/>
    </row>
    <row r="678" spans="2:29" ht="13.5" customHeight="1">
      <c r="B678" s="98" t="str">
        <f>CONCATENATE("- Local: ",INFO!$C$18)</f>
        <v>- Local: GUAIRA - PR</v>
      </c>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c r="AA678" s="121"/>
      <c r="AB678" s="121"/>
    </row>
    <row r="679" spans="2:29" ht="13.5" customHeight="1">
      <c r="B679" s="98" t="str">
        <f>CONCATENATE("- Periodo: ",INFO!$C$10," a ",INFO!$C$19)</f>
        <v xml:space="preserve">- Periodo: 22/7/2025  a 23/8/2025 </v>
      </c>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c r="AA679" s="121"/>
      <c r="AB679" s="121"/>
    </row>
    <row r="680" spans="2:29" ht="13.5" customHeight="1">
      <c r="B680" s="98" t="str">
        <f>CONCATENATE("- Nr Dias: ",INFO!$C$20)</f>
        <v>- Nr Dias: 33</v>
      </c>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c r="AA680" s="121"/>
      <c r="AB680" s="121"/>
    </row>
    <row r="681" spans="2:29" ht="13.5" customHeight="1">
      <c r="B681" s="98" t="e">
        <f>CONCATENATE("- Valor Estimado: R$ ",INDEX(QSGR!$J$16:$J$11170,AC674))</f>
        <v>#N/A</v>
      </c>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c r="AA681" s="121"/>
      <c r="AB681" s="121"/>
    </row>
    <row r="682" spans="2:29" ht="13.5" customHeight="1">
      <c r="B682" s="100"/>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c r="AA682" s="121"/>
      <c r="AB682" s="121"/>
    </row>
    <row r="683" spans="2:29" ht="13.5" customHeight="1">
      <c r="B683" s="98" t="s">
        <v>55</v>
      </c>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c r="AA683" s="121"/>
      <c r="AB683" s="121"/>
      <c r="AC683" s="37">
        <f>AC674+1</f>
        <v>76</v>
      </c>
    </row>
    <row r="684" spans="2:29" ht="13.5" customHeight="1">
      <c r="B684" s="99">
        <f>INDEX(QSGR!$B$16:$B$1570,AC683)</f>
        <v>0</v>
      </c>
      <c r="C684" s="121"/>
      <c r="D684" s="121"/>
      <c r="E684" s="97">
        <f>INDEX(QSGR!$D$16:$D$11170,AC683)</f>
        <v>0</v>
      </c>
      <c r="F684" s="121"/>
      <c r="G684" s="121"/>
      <c r="H684" s="121"/>
      <c r="I684" s="121"/>
      <c r="J684" s="121"/>
      <c r="K684" s="121"/>
      <c r="L684" s="121"/>
      <c r="M684" s="121"/>
      <c r="N684" s="121"/>
      <c r="O684" s="121"/>
      <c r="P684" s="121"/>
      <c r="Q684" s="121"/>
      <c r="R684" s="121"/>
      <c r="S684" s="121"/>
      <c r="T684" s="121"/>
      <c r="U684" s="121"/>
      <c r="V684" s="121"/>
      <c r="W684" s="121"/>
      <c r="X684" s="121"/>
      <c r="Y684" s="121"/>
      <c r="Z684" s="121"/>
      <c r="AA684" s="121"/>
      <c r="AB684" s="121"/>
    </row>
    <row r="685" spans="2:29" ht="13.5" customHeight="1">
      <c r="B685" s="96" t="str">
        <f>CONCATENATE("- Evento: ",INFO!$B$22)</f>
        <v>- Evento: PARTICIPAR DA OPERAÇÃO HORUS.</v>
      </c>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c r="AA685" s="121"/>
      <c r="AB685" s="121"/>
    </row>
    <row r="686" spans="2:29" ht="13.5" customHeight="1">
      <c r="B686" s="98" t="str">
        <f>CONCATENATE("- Documento de Solicitação: ",INFO!$B$24)</f>
        <v>- Documento de Solicitação: TESTE AZUL</v>
      </c>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c r="AA686" s="121"/>
      <c r="AB686" s="121"/>
    </row>
    <row r="687" spans="2:29" ht="13.5" customHeight="1">
      <c r="B687" s="98" t="str">
        <f>CONCATENATE("- Local: ",INFO!$C$18)</f>
        <v>- Local: GUAIRA - PR</v>
      </c>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c r="AA687" s="121"/>
      <c r="AB687" s="121"/>
    </row>
    <row r="688" spans="2:29" ht="13.5" customHeight="1">
      <c r="B688" s="98" t="str">
        <f>CONCATENATE("- Periodo: ",INFO!$C$10," a ",INFO!$C$19)</f>
        <v xml:space="preserve">- Periodo: 22/7/2025  a 23/8/2025 </v>
      </c>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c r="AA688" s="121"/>
      <c r="AB688" s="121"/>
    </row>
    <row r="689" spans="2:29" ht="13.5" customHeight="1">
      <c r="B689" s="98" t="str">
        <f>CONCATENATE("- Nr Dias: ",INFO!$C$20)</f>
        <v>- Nr Dias: 33</v>
      </c>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c r="AA689" s="121"/>
      <c r="AB689" s="121"/>
    </row>
    <row r="690" spans="2:29" ht="13.5" customHeight="1">
      <c r="B690" s="98" t="e">
        <f>CONCATENATE("- Valor Estimado: R$ ",INDEX(QSGR!$J$16:$J$11170,AC683))</f>
        <v>#N/A</v>
      </c>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c r="AA690" s="121"/>
      <c r="AB690" s="121"/>
    </row>
    <row r="691" spans="2:29" ht="13.5" customHeight="1">
      <c r="B691" s="100"/>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c r="AA691" s="121"/>
      <c r="AB691" s="121"/>
    </row>
    <row r="692" spans="2:29" ht="13.5" customHeight="1">
      <c r="B692" s="98" t="s">
        <v>55</v>
      </c>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c r="AA692" s="121"/>
      <c r="AB692" s="121"/>
      <c r="AC692" s="37">
        <f>AC683+1</f>
        <v>77</v>
      </c>
    </row>
    <row r="693" spans="2:29" ht="13.5" customHeight="1">
      <c r="B693" s="99">
        <f>INDEX(QSGR!$B$16:$B$1570,AC692)</f>
        <v>0</v>
      </c>
      <c r="C693" s="121"/>
      <c r="D693" s="121"/>
      <c r="E693" s="97">
        <f>INDEX(QSGR!$D$16:$D$11170,AC692)</f>
        <v>0</v>
      </c>
      <c r="F693" s="121"/>
      <c r="G693" s="121"/>
      <c r="H693" s="121"/>
      <c r="I693" s="121"/>
      <c r="J693" s="121"/>
      <c r="K693" s="121"/>
      <c r="L693" s="121"/>
      <c r="M693" s="121"/>
      <c r="N693" s="121"/>
      <c r="O693" s="121"/>
      <c r="P693" s="121"/>
      <c r="Q693" s="121"/>
      <c r="R693" s="121"/>
      <c r="S693" s="121"/>
      <c r="T693" s="121"/>
      <c r="U693" s="121"/>
      <c r="V693" s="121"/>
      <c r="W693" s="121"/>
      <c r="X693" s="121"/>
      <c r="Y693" s="121"/>
      <c r="Z693" s="121"/>
      <c r="AA693" s="121"/>
      <c r="AB693" s="121"/>
    </row>
    <row r="694" spans="2:29" ht="13.5" customHeight="1">
      <c r="B694" s="96" t="str">
        <f>CONCATENATE("- Evento: ",INFO!$B$22)</f>
        <v>- Evento: PARTICIPAR DA OPERAÇÃO HORUS.</v>
      </c>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c r="AA694" s="121"/>
      <c r="AB694" s="121"/>
    </row>
    <row r="695" spans="2:29" ht="13.5" customHeight="1">
      <c r="B695" s="98" t="str">
        <f>CONCATENATE("- Documento de Solicitação: ",INFO!$B$24)</f>
        <v>- Documento de Solicitação: TESTE AZUL</v>
      </c>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c r="AA695" s="121"/>
      <c r="AB695" s="121"/>
    </row>
    <row r="696" spans="2:29" ht="13.5" customHeight="1">
      <c r="B696" s="98" t="str">
        <f>CONCATENATE("- Local: ",INFO!$C$18)</f>
        <v>- Local: GUAIRA - PR</v>
      </c>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c r="AA696" s="121"/>
      <c r="AB696" s="121"/>
    </row>
    <row r="697" spans="2:29" ht="13.5" customHeight="1">
      <c r="B697" s="98" t="str">
        <f>CONCATENATE("- Periodo: ",INFO!$C$10," a ",INFO!$C$19)</f>
        <v xml:space="preserve">- Periodo: 22/7/2025  a 23/8/2025 </v>
      </c>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c r="AA697" s="121"/>
      <c r="AB697" s="121"/>
    </row>
    <row r="698" spans="2:29" ht="13.5" customHeight="1">
      <c r="B698" s="98" t="str">
        <f>CONCATENATE("- Nr Dias: ",INFO!$C$20)</f>
        <v>- Nr Dias: 33</v>
      </c>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c r="AA698" s="121"/>
      <c r="AB698" s="121"/>
    </row>
    <row r="699" spans="2:29" ht="13.5" customHeight="1">
      <c r="B699" s="98" t="e">
        <f>CONCATENATE("- Valor Estimado: R$ ",INDEX(QSGR!$J$16:$J$11170,AC692))</f>
        <v>#N/A</v>
      </c>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c r="AA699" s="121"/>
      <c r="AB699" s="121"/>
    </row>
    <row r="700" spans="2:29" ht="13.5" customHeight="1">
      <c r="B700" s="100"/>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c r="AA700" s="121"/>
      <c r="AB700" s="121"/>
    </row>
    <row r="701" spans="2:29" ht="13.5" customHeight="1">
      <c r="B701" s="98" t="s">
        <v>55</v>
      </c>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c r="AA701" s="121"/>
      <c r="AB701" s="121"/>
      <c r="AC701" s="37">
        <f>AC692+1</f>
        <v>78</v>
      </c>
    </row>
    <row r="702" spans="2:29" ht="13.5" customHeight="1">
      <c r="B702" s="99">
        <f>INDEX(QSGR!$B$16:$B$1570,AC701)</f>
        <v>0</v>
      </c>
      <c r="C702" s="121"/>
      <c r="D702" s="121"/>
      <c r="E702" s="97">
        <f>INDEX(QSGR!$D$16:$D$11170,AC701)</f>
        <v>0</v>
      </c>
      <c r="F702" s="121"/>
      <c r="G702" s="121"/>
      <c r="H702" s="121"/>
      <c r="I702" s="121"/>
      <c r="J702" s="121"/>
      <c r="K702" s="121"/>
      <c r="L702" s="121"/>
      <c r="M702" s="121"/>
      <c r="N702" s="121"/>
      <c r="O702" s="121"/>
      <c r="P702" s="121"/>
      <c r="Q702" s="121"/>
      <c r="R702" s="121"/>
      <c r="S702" s="121"/>
      <c r="T702" s="121"/>
      <c r="U702" s="121"/>
      <c r="V702" s="121"/>
      <c r="W702" s="121"/>
      <c r="X702" s="121"/>
      <c r="Y702" s="121"/>
      <c r="Z702" s="121"/>
      <c r="AA702" s="121"/>
      <c r="AB702" s="121"/>
    </row>
    <row r="703" spans="2:29" ht="13.5" customHeight="1">
      <c r="B703" s="96" t="str">
        <f>CONCATENATE("- Evento: ",INFO!$B$22)</f>
        <v>- Evento: PARTICIPAR DA OPERAÇÃO HORUS.</v>
      </c>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c r="AA703" s="121"/>
      <c r="AB703" s="121"/>
    </row>
    <row r="704" spans="2:29" ht="13.5" customHeight="1">
      <c r="B704" s="98" t="str">
        <f>CONCATENATE("- Documento de Solicitação: ",INFO!$B$24)</f>
        <v>- Documento de Solicitação: TESTE AZUL</v>
      </c>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c r="AA704" s="121"/>
      <c r="AB704" s="121"/>
    </row>
    <row r="705" spans="2:29" ht="13.5" customHeight="1">
      <c r="B705" s="98" t="str">
        <f>CONCATENATE("- Local: ",INFO!$C$18)</f>
        <v>- Local: GUAIRA - PR</v>
      </c>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c r="AA705" s="121"/>
      <c r="AB705" s="121"/>
    </row>
    <row r="706" spans="2:29" ht="13.5" customHeight="1">
      <c r="B706" s="98" t="str">
        <f>CONCATENATE("- Periodo: ",INFO!$C$10," a ",INFO!$C$19)</f>
        <v xml:space="preserve">- Periodo: 22/7/2025  a 23/8/2025 </v>
      </c>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c r="AA706" s="121"/>
      <c r="AB706" s="121"/>
    </row>
    <row r="707" spans="2:29" ht="13.5" customHeight="1">
      <c r="B707" s="98" t="str">
        <f>CONCATENATE("- Nr Dias: ",INFO!$C$20)</f>
        <v>- Nr Dias: 33</v>
      </c>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c r="AA707" s="121"/>
      <c r="AB707" s="121"/>
    </row>
    <row r="708" spans="2:29" ht="13.5" customHeight="1">
      <c r="B708" s="98" t="e">
        <f>CONCATENATE("- Valor Estimado: R$ ",INDEX(QSGR!$J$16:$J$11170,AC701))</f>
        <v>#N/A</v>
      </c>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c r="AA708" s="121"/>
      <c r="AB708" s="121"/>
    </row>
    <row r="709" spans="2:29" ht="13.5" customHeight="1">
      <c r="B709" s="100"/>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c r="AA709" s="121"/>
      <c r="AB709" s="121"/>
    </row>
    <row r="710" spans="2:29" ht="13.5" customHeight="1">
      <c r="B710" s="98" t="s">
        <v>55</v>
      </c>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c r="AA710" s="121"/>
      <c r="AB710" s="121"/>
      <c r="AC710" s="37">
        <f>AC701+1</f>
        <v>79</v>
      </c>
    </row>
    <row r="711" spans="2:29" ht="13.5" customHeight="1">
      <c r="B711" s="99">
        <f>INDEX(QSGR!$B$16:$B$1570,AC710)</f>
        <v>0</v>
      </c>
      <c r="C711" s="121"/>
      <c r="D711" s="121"/>
      <c r="E711" s="97">
        <f>INDEX(QSGR!$D$16:$D$11170,AC710)</f>
        <v>0</v>
      </c>
      <c r="F711" s="121"/>
      <c r="G711" s="121"/>
      <c r="H711" s="121"/>
      <c r="I711" s="121"/>
      <c r="J711" s="121"/>
      <c r="K711" s="121"/>
      <c r="L711" s="121"/>
      <c r="M711" s="121"/>
      <c r="N711" s="121"/>
      <c r="O711" s="121"/>
      <c r="P711" s="121"/>
      <c r="Q711" s="121"/>
      <c r="R711" s="121"/>
      <c r="S711" s="121"/>
      <c r="T711" s="121"/>
      <c r="U711" s="121"/>
      <c r="V711" s="121"/>
      <c r="W711" s="121"/>
      <c r="X711" s="121"/>
      <c r="Y711" s="121"/>
      <c r="Z711" s="121"/>
      <c r="AA711" s="121"/>
      <c r="AB711" s="121"/>
    </row>
    <row r="712" spans="2:29" ht="13.5" customHeight="1">
      <c r="B712" s="96" t="str">
        <f>CONCATENATE("- Evento: ",INFO!$B$22)</f>
        <v>- Evento: PARTICIPAR DA OPERAÇÃO HORUS.</v>
      </c>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c r="AA712" s="121"/>
      <c r="AB712" s="121"/>
    </row>
    <row r="713" spans="2:29" ht="13.5" customHeight="1">
      <c r="B713" s="98" t="str">
        <f>CONCATENATE("- Documento de Solicitação: ",INFO!$B$24)</f>
        <v>- Documento de Solicitação: TESTE AZUL</v>
      </c>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c r="AA713" s="121"/>
      <c r="AB713" s="121"/>
    </row>
    <row r="714" spans="2:29" ht="13.5" customHeight="1">
      <c r="B714" s="98" t="str">
        <f>CONCATENATE("- Local: ",INFO!$C$18)</f>
        <v>- Local: GUAIRA - PR</v>
      </c>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c r="AA714" s="121"/>
      <c r="AB714" s="121"/>
    </row>
    <row r="715" spans="2:29" ht="13.5" customHeight="1">
      <c r="B715" s="98" t="str">
        <f>CONCATENATE("- Periodo: ",INFO!$C$10," a ",INFO!$C$19)</f>
        <v xml:space="preserve">- Periodo: 22/7/2025  a 23/8/2025 </v>
      </c>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c r="AA715" s="121"/>
      <c r="AB715" s="121"/>
    </row>
    <row r="716" spans="2:29" ht="13.5" customHeight="1">
      <c r="B716" s="98" t="str">
        <f>CONCATENATE("- Nr Dias: ",INFO!$C$20)</f>
        <v>- Nr Dias: 33</v>
      </c>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c r="AA716" s="121"/>
      <c r="AB716" s="121"/>
    </row>
    <row r="717" spans="2:29" ht="13.5" customHeight="1">
      <c r="B717" s="98" t="e">
        <f>CONCATENATE("- Valor Estimado: R$ ",INDEX(QSGR!$J$16:$J$11170,AC710))</f>
        <v>#N/A</v>
      </c>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c r="AA717" s="121"/>
      <c r="AB717" s="121"/>
    </row>
    <row r="718" spans="2:29" ht="13.5" customHeight="1">
      <c r="B718" s="100"/>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c r="AA718" s="121"/>
      <c r="AB718" s="121"/>
    </row>
    <row r="719" spans="2:29" ht="13.5" customHeight="1">
      <c r="B719" s="98" t="s">
        <v>55</v>
      </c>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c r="AA719" s="121"/>
      <c r="AB719" s="121"/>
      <c r="AC719" s="37">
        <f>AC710+1</f>
        <v>80</v>
      </c>
    </row>
    <row r="720" spans="2:29" ht="13.5" customHeight="1">
      <c r="B720" s="99">
        <f>INDEX(QSGR!$B$16:$B$1570,AC719)</f>
        <v>0</v>
      </c>
      <c r="C720" s="121"/>
      <c r="D720" s="121"/>
      <c r="E720" s="97">
        <f>INDEX(QSGR!$D$16:$D$11170,AC719)</f>
        <v>0</v>
      </c>
      <c r="F720" s="121"/>
      <c r="G720" s="121"/>
      <c r="H720" s="121"/>
      <c r="I720" s="121"/>
      <c r="J720" s="121"/>
      <c r="K720" s="121"/>
      <c r="L720" s="121"/>
      <c r="M720" s="121"/>
      <c r="N720" s="121"/>
      <c r="O720" s="121"/>
      <c r="P720" s="121"/>
      <c r="Q720" s="121"/>
      <c r="R720" s="121"/>
      <c r="S720" s="121"/>
      <c r="T720" s="121"/>
      <c r="U720" s="121"/>
      <c r="V720" s="121"/>
      <c r="W720" s="121"/>
      <c r="X720" s="121"/>
      <c r="Y720" s="121"/>
      <c r="Z720" s="121"/>
      <c r="AA720" s="121"/>
      <c r="AB720" s="121"/>
    </row>
    <row r="721" spans="2:29" ht="13.5" customHeight="1">
      <c r="B721" s="96" t="str">
        <f>CONCATENATE("- Evento: ",INFO!$B$22)</f>
        <v>- Evento: PARTICIPAR DA OPERAÇÃO HORUS.</v>
      </c>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c r="AA721" s="121"/>
      <c r="AB721" s="121"/>
    </row>
    <row r="722" spans="2:29" ht="13.5" customHeight="1">
      <c r="B722" s="98" t="str">
        <f>CONCATENATE("- Documento de Solicitação: ",INFO!$B$24)</f>
        <v>- Documento de Solicitação: TESTE AZUL</v>
      </c>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c r="AA722" s="121"/>
      <c r="AB722" s="121"/>
    </row>
    <row r="723" spans="2:29" ht="13.5" customHeight="1">
      <c r="B723" s="98" t="str">
        <f>CONCATENATE("- Local: ",INFO!$C$18)</f>
        <v>- Local: GUAIRA - PR</v>
      </c>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c r="AA723" s="121"/>
      <c r="AB723" s="121"/>
    </row>
    <row r="724" spans="2:29" ht="13.5" customHeight="1">
      <c r="B724" s="98" t="str">
        <f>CONCATENATE("- Periodo: ",INFO!$C$10," a ",INFO!$C$19)</f>
        <v xml:space="preserve">- Periodo: 22/7/2025  a 23/8/2025 </v>
      </c>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c r="AA724" s="121"/>
      <c r="AB724" s="121"/>
    </row>
    <row r="725" spans="2:29" ht="13.5" customHeight="1">
      <c r="B725" s="98" t="str">
        <f>CONCATENATE("- Nr Dias: ",INFO!$C$20)</f>
        <v>- Nr Dias: 33</v>
      </c>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c r="AA725" s="121"/>
      <c r="AB725" s="121"/>
    </row>
    <row r="726" spans="2:29" ht="13.5" customHeight="1">
      <c r="B726" s="98" t="e">
        <f>CONCATENATE("- Valor Estimado: R$ ",INDEX(QSGR!$J$16:$J$11170,AC719))</f>
        <v>#N/A</v>
      </c>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c r="AA726" s="121"/>
      <c r="AB726" s="121"/>
    </row>
    <row r="727" spans="2:29" ht="13.5" customHeight="1">
      <c r="B727" s="100"/>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c r="AA727" s="121"/>
      <c r="AB727" s="121"/>
    </row>
    <row r="728" spans="2:29" ht="13.5" customHeight="1">
      <c r="B728" s="98" t="s">
        <v>55</v>
      </c>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c r="AA728" s="121"/>
      <c r="AB728" s="121"/>
      <c r="AC728" s="37">
        <f>AC719+1</f>
        <v>81</v>
      </c>
    </row>
    <row r="729" spans="2:29" ht="13.5" customHeight="1">
      <c r="B729" s="99">
        <f>INDEX(QSGR!$B$16:$B$1570,AC728)</f>
        <v>0</v>
      </c>
      <c r="C729" s="121"/>
      <c r="D729" s="121"/>
      <c r="E729" s="97">
        <f>INDEX(QSGR!$D$16:$D$11170,AC728)</f>
        <v>0</v>
      </c>
      <c r="F729" s="121"/>
      <c r="G729" s="121"/>
      <c r="H729" s="121"/>
      <c r="I729" s="121"/>
      <c r="J729" s="121"/>
      <c r="K729" s="121"/>
      <c r="L729" s="121"/>
      <c r="M729" s="121"/>
      <c r="N729" s="121"/>
      <c r="O729" s="121"/>
      <c r="P729" s="121"/>
      <c r="Q729" s="121"/>
      <c r="R729" s="121"/>
      <c r="S729" s="121"/>
      <c r="T729" s="121"/>
      <c r="U729" s="121"/>
      <c r="V729" s="121"/>
      <c r="W729" s="121"/>
      <c r="X729" s="121"/>
      <c r="Y729" s="121"/>
      <c r="Z729" s="121"/>
      <c r="AA729" s="121"/>
      <c r="AB729" s="121"/>
    </row>
    <row r="730" spans="2:29" ht="13.5" customHeight="1">
      <c r="B730" s="96" t="str">
        <f>CONCATENATE("- Evento: ",INFO!$B$22)</f>
        <v>- Evento: PARTICIPAR DA OPERAÇÃO HORUS.</v>
      </c>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c r="AA730" s="121"/>
      <c r="AB730" s="121"/>
    </row>
    <row r="731" spans="2:29" ht="13.5" customHeight="1">
      <c r="B731" s="98" t="str">
        <f>CONCATENATE("- Documento de Solicitação: ",INFO!$B$24)</f>
        <v>- Documento de Solicitação: TESTE AZUL</v>
      </c>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c r="AA731" s="121"/>
      <c r="AB731" s="121"/>
    </row>
    <row r="732" spans="2:29" ht="13.5" customHeight="1">
      <c r="B732" s="98" t="str">
        <f>CONCATENATE("- Local: ",INFO!$C$18)</f>
        <v>- Local: GUAIRA - PR</v>
      </c>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c r="AA732" s="121"/>
      <c r="AB732" s="121"/>
    </row>
    <row r="733" spans="2:29" ht="13.5" customHeight="1">
      <c r="B733" s="98" t="str">
        <f>CONCATENATE("- Periodo: ",INFO!$C$10," a ",INFO!$C$19)</f>
        <v xml:space="preserve">- Periodo: 22/7/2025  a 23/8/2025 </v>
      </c>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c r="AA733" s="121"/>
      <c r="AB733" s="121"/>
    </row>
    <row r="734" spans="2:29" ht="13.5" customHeight="1">
      <c r="B734" s="98" t="str">
        <f>CONCATENATE("- Nr Dias: ",INFO!$C$20)</f>
        <v>- Nr Dias: 33</v>
      </c>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c r="AA734" s="121"/>
      <c r="AB734" s="121"/>
    </row>
    <row r="735" spans="2:29" ht="13.5" customHeight="1">
      <c r="B735" s="98" t="e">
        <f>CONCATENATE("- Valor Estimado: R$ ",INDEX(QSGR!$J$16:$J$11170,AC728))</f>
        <v>#N/A</v>
      </c>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c r="AA735" s="121"/>
      <c r="AB735" s="121"/>
    </row>
    <row r="736" spans="2:29" ht="13.5" customHeight="1">
      <c r="B736" s="100"/>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c r="AA736" s="121"/>
      <c r="AB736" s="121"/>
    </row>
    <row r="737" spans="2:29" ht="13.5" customHeight="1">
      <c r="B737" s="98" t="s">
        <v>55</v>
      </c>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c r="AA737" s="121"/>
      <c r="AB737" s="121"/>
      <c r="AC737" s="37">
        <f>AC728+1</f>
        <v>82</v>
      </c>
    </row>
    <row r="738" spans="2:29" ht="13.5" customHeight="1">
      <c r="B738" s="99">
        <f>INDEX(QSGR!$B$16:$B$1570,AC737)</f>
        <v>0</v>
      </c>
      <c r="C738" s="121"/>
      <c r="D738" s="121"/>
      <c r="E738" s="97">
        <f>INDEX(QSGR!$D$16:$D$11170,AC737)</f>
        <v>0</v>
      </c>
      <c r="F738" s="121"/>
      <c r="G738" s="121"/>
      <c r="H738" s="121"/>
      <c r="I738" s="121"/>
      <c r="J738" s="121"/>
      <c r="K738" s="121"/>
      <c r="L738" s="121"/>
      <c r="M738" s="121"/>
      <c r="N738" s="121"/>
      <c r="O738" s="121"/>
      <c r="P738" s="121"/>
      <c r="Q738" s="121"/>
      <c r="R738" s="121"/>
      <c r="S738" s="121"/>
      <c r="T738" s="121"/>
      <c r="U738" s="121"/>
      <c r="V738" s="121"/>
      <c r="W738" s="121"/>
      <c r="X738" s="121"/>
      <c r="Y738" s="121"/>
      <c r="Z738" s="121"/>
      <c r="AA738" s="121"/>
      <c r="AB738" s="121"/>
    </row>
    <row r="739" spans="2:29" ht="13.5" customHeight="1">
      <c r="B739" s="96" t="str">
        <f>CONCATENATE("- Evento: ",INFO!$B$22)</f>
        <v>- Evento: PARTICIPAR DA OPERAÇÃO HORUS.</v>
      </c>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c r="AA739" s="121"/>
      <c r="AB739" s="121"/>
    </row>
    <row r="740" spans="2:29" ht="13.5" customHeight="1">
      <c r="B740" s="98" t="str">
        <f>CONCATENATE("- Documento de Solicitação: ",INFO!$B$24)</f>
        <v>- Documento de Solicitação: TESTE AZUL</v>
      </c>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c r="AA740" s="121"/>
      <c r="AB740" s="121"/>
    </row>
    <row r="741" spans="2:29" ht="13.5" customHeight="1">
      <c r="B741" s="98" t="str">
        <f>CONCATENATE("- Local: ",INFO!$C$18)</f>
        <v>- Local: GUAIRA - PR</v>
      </c>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c r="AA741" s="121"/>
      <c r="AB741" s="121"/>
    </row>
    <row r="742" spans="2:29" ht="13.5" customHeight="1">
      <c r="B742" s="98" t="str">
        <f>CONCATENATE("- Periodo: ",INFO!$C$10," a ",INFO!$C$19)</f>
        <v xml:space="preserve">- Periodo: 22/7/2025  a 23/8/2025 </v>
      </c>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c r="AA742" s="121"/>
      <c r="AB742" s="121"/>
    </row>
    <row r="743" spans="2:29" ht="13.5" customHeight="1">
      <c r="B743" s="98" t="str">
        <f>CONCATENATE("- Nr Dias: ",INFO!$C$20)</f>
        <v>- Nr Dias: 33</v>
      </c>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c r="AA743" s="121"/>
      <c r="AB743" s="121"/>
    </row>
    <row r="744" spans="2:29" ht="13.5" customHeight="1">
      <c r="B744" s="98" t="e">
        <f>CONCATENATE("- Valor Estimado: R$ ",INDEX(QSGR!$J$16:$J$11170,AC737))</f>
        <v>#N/A</v>
      </c>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c r="AA744" s="121"/>
      <c r="AB744" s="121"/>
    </row>
    <row r="745" spans="2:29" ht="13.5" customHeight="1">
      <c r="B745" s="100"/>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c r="AA745" s="121"/>
      <c r="AB745" s="121"/>
    </row>
    <row r="746" spans="2:29" ht="13.5" customHeight="1">
      <c r="B746" s="98" t="s">
        <v>55</v>
      </c>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c r="AA746" s="121"/>
      <c r="AB746" s="121"/>
      <c r="AC746" s="37">
        <f>AC737+1</f>
        <v>83</v>
      </c>
    </row>
    <row r="747" spans="2:29" ht="13.5" customHeight="1">
      <c r="B747" s="99">
        <f>INDEX(QSGR!$B$16:$B$1570,AC746)</f>
        <v>0</v>
      </c>
      <c r="C747" s="121"/>
      <c r="D747" s="121"/>
      <c r="E747" s="97">
        <f>INDEX(QSGR!$D$16:$D$11170,AC746)</f>
        <v>0</v>
      </c>
      <c r="F747" s="121"/>
      <c r="G747" s="121"/>
      <c r="H747" s="121"/>
      <c r="I747" s="121"/>
      <c r="J747" s="121"/>
      <c r="K747" s="121"/>
      <c r="L747" s="121"/>
      <c r="M747" s="121"/>
      <c r="N747" s="121"/>
      <c r="O747" s="121"/>
      <c r="P747" s="121"/>
      <c r="Q747" s="121"/>
      <c r="R747" s="121"/>
      <c r="S747" s="121"/>
      <c r="T747" s="121"/>
      <c r="U747" s="121"/>
      <c r="V747" s="121"/>
      <c r="W747" s="121"/>
      <c r="X747" s="121"/>
      <c r="Y747" s="121"/>
      <c r="Z747" s="121"/>
      <c r="AA747" s="121"/>
      <c r="AB747" s="121"/>
    </row>
    <row r="748" spans="2:29" ht="13.5" customHeight="1">
      <c r="B748" s="96" t="str">
        <f>CONCATENATE("- Evento: ",INFO!$B$22)</f>
        <v>- Evento: PARTICIPAR DA OPERAÇÃO HORUS.</v>
      </c>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c r="AA748" s="121"/>
      <c r="AB748" s="121"/>
    </row>
    <row r="749" spans="2:29" ht="13.5" customHeight="1">
      <c r="B749" s="98" t="str">
        <f>CONCATENATE("- Documento de Solicitação: ",INFO!$B$24)</f>
        <v>- Documento de Solicitação: TESTE AZUL</v>
      </c>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c r="AA749" s="121"/>
      <c r="AB749" s="121"/>
    </row>
    <row r="750" spans="2:29" ht="13.5" customHeight="1">
      <c r="B750" s="98" t="str">
        <f>CONCATENATE("- Local: ",INFO!$C$18)</f>
        <v>- Local: GUAIRA - PR</v>
      </c>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c r="AA750" s="121"/>
      <c r="AB750" s="121"/>
    </row>
    <row r="751" spans="2:29" ht="13.5" customHeight="1">
      <c r="B751" s="98" t="str">
        <f>CONCATENATE("- Periodo: ",INFO!$C$10," a ",INFO!$C$19)</f>
        <v xml:space="preserve">- Periodo: 22/7/2025  a 23/8/2025 </v>
      </c>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c r="AA751" s="121"/>
      <c r="AB751" s="121"/>
    </row>
    <row r="752" spans="2:29" ht="13.5" customHeight="1">
      <c r="B752" s="98" t="str">
        <f>CONCATENATE("- Nr Dias: ",INFO!$C$20)</f>
        <v>- Nr Dias: 33</v>
      </c>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c r="AA752" s="121"/>
      <c r="AB752" s="121"/>
    </row>
    <row r="753" spans="2:29" ht="13.5" customHeight="1">
      <c r="B753" s="98" t="e">
        <f>CONCATENATE("- Valor Estimado: R$ ",INDEX(QSGR!$J$16:$J$11170,AC746))</f>
        <v>#N/A</v>
      </c>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c r="AA753" s="121"/>
      <c r="AB753" s="121"/>
    </row>
    <row r="754" spans="2:29" ht="13.5" customHeight="1">
      <c r="B754" s="100"/>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c r="AA754" s="121"/>
      <c r="AB754" s="121"/>
    </row>
    <row r="755" spans="2:29" ht="13.5" customHeight="1">
      <c r="B755" s="98" t="s">
        <v>55</v>
      </c>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c r="AA755" s="121"/>
      <c r="AB755" s="121"/>
      <c r="AC755" s="37">
        <f>AC746+1</f>
        <v>84</v>
      </c>
    </row>
    <row r="756" spans="2:29" ht="13.5" customHeight="1">
      <c r="B756" s="99">
        <f>INDEX(QSGR!$B$16:$B$1570,AC755)</f>
        <v>0</v>
      </c>
      <c r="C756" s="121"/>
      <c r="D756" s="121"/>
      <c r="E756" s="97">
        <f>INDEX(QSGR!$D$16:$D$11170,AC755)</f>
        <v>0</v>
      </c>
      <c r="F756" s="121"/>
      <c r="G756" s="121"/>
      <c r="H756" s="121"/>
      <c r="I756" s="121"/>
      <c r="J756" s="121"/>
      <c r="K756" s="121"/>
      <c r="L756" s="121"/>
      <c r="M756" s="121"/>
      <c r="N756" s="121"/>
      <c r="O756" s="121"/>
      <c r="P756" s="121"/>
      <c r="Q756" s="121"/>
      <c r="R756" s="121"/>
      <c r="S756" s="121"/>
      <c r="T756" s="121"/>
      <c r="U756" s="121"/>
      <c r="V756" s="121"/>
      <c r="W756" s="121"/>
      <c r="X756" s="121"/>
      <c r="Y756" s="121"/>
      <c r="Z756" s="121"/>
      <c r="AA756" s="121"/>
      <c r="AB756" s="121"/>
    </row>
    <row r="757" spans="2:29" ht="13.5" customHeight="1">
      <c r="B757" s="96" t="str">
        <f>CONCATENATE("- Evento: ",INFO!$B$22)</f>
        <v>- Evento: PARTICIPAR DA OPERAÇÃO HORUS.</v>
      </c>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c r="AA757" s="121"/>
      <c r="AB757" s="121"/>
    </row>
    <row r="758" spans="2:29" ht="13.5" customHeight="1">
      <c r="B758" s="98" t="str">
        <f>CONCATENATE("- Documento de Solicitação: ",INFO!$B$24)</f>
        <v>- Documento de Solicitação: TESTE AZUL</v>
      </c>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c r="AA758" s="121"/>
      <c r="AB758" s="121"/>
    </row>
    <row r="759" spans="2:29" ht="13.5" customHeight="1">
      <c r="B759" s="98" t="str">
        <f>CONCATENATE("- Local: ",INFO!$C$18)</f>
        <v>- Local: GUAIRA - PR</v>
      </c>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c r="AA759" s="121"/>
      <c r="AB759" s="121"/>
    </row>
    <row r="760" spans="2:29" ht="13.5" customHeight="1">
      <c r="B760" s="98" t="str">
        <f>CONCATENATE("- Periodo: ",INFO!$C$10," a ",INFO!$C$19)</f>
        <v xml:space="preserve">- Periodo: 22/7/2025  a 23/8/2025 </v>
      </c>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c r="AA760" s="121"/>
      <c r="AB760" s="121"/>
    </row>
    <row r="761" spans="2:29" ht="13.5" customHeight="1">
      <c r="B761" s="98" t="str">
        <f>CONCATENATE("- Nr Dias: ",INFO!$C$20)</f>
        <v>- Nr Dias: 33</v>
      </c>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c r="AA761" s="121"/>
      <c r="AB761" s="121"/>
    </row>
    <row r="762" spans="2:29" ht="13.5" customHeight="1">
      <c r="B762" s="98" t="e">
        <f>CONCATENATE("- Valor Estimado: R$ ",INDEX(QSGR!$J$16:$J$11170,AC755))</f>
        <v>#N/A</v>
      </c>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c r="AA762" s="121"/>
      <c r="AB762" s="121"/>
    </row>
    <row r="763" spans="2:29" ht="13.5" customHeight="1">
      <c r="B763" s="100"/>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c r="AA763" s="121"/>
      <c r="AB763" s="121"/>
    </row>
    <row r="764" spans="2:29" ht="13.5" customHeight="1">
      <c r="B764" s="98" t="s">
        <v>55</v>
      </c>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c r="AA764" s="121"/>
      <c r="AB764" s="121"/>
      <c r="AC764" s="37">
        <f>AC755+1</f>
        <v>85</v>
      </c>
    </row>
    <row r="765" spans="2:29" ht="13.5" customHeight="1">
      <c r="B765" s="99">
        <f>INDEX(QSGR!$B$16:$B$1570,AC764)</f>
        <v>0</v>
      </c>
      <c r="C765" s="121"/>
      <c r="D765" s="121"/>
      <c r="E765" s="97">
        <f>INDEX(QSGR!$D$16:$D$11170,AC764)</f>
        <v>0</v>
      </c>
      <c r="F765" s="121"/>
      <c r="G765" s="121"/>
      <c r="H765" s="121"/>
      <c r="I765" s="121"/>
      <c r="J765" s="121"/>
      <c r="K765" s="121"/>
      <c r="L765" s="121"/>
      <c r="M765" s="121"/>
      <c r="N765" s="121"/>
      <c r="O765" s="121"/>
      <c r="P765" s="121"/>
      <c r="Q765" s="121"/>
      <c r="R765" s="121"/>
      <c r="S765" s="121"/>
      <c r="T765" s="121"/>
      <c r="U765" s="121"/>
      <c r="V765" s="121"/>
      <c r="W765" s="121"/>
      <c r="X765" s="121"/>
      <c r="Y765" s="121"/>
      <c r="Z765" s="121"/>
      <c r="AA765" s="121"/>
      <c r="AB765" s="121"/>
    </row>
    <row r="766" spans="2:29" ht="13.5" customHeight="1">
      <c r="B766" s="96" t="str">
        <f>CONCATENATE("- Evento: ",INFO!$B$22)</f>
        <v>- Evento: PARTICIPAR DA OPERAÇÃO HORUS.</v>
      </c>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c r="AA766" s="121"/>
      <c r="AB766" s="121"/>
    </row>
    <row r="767" spans="2:29" ht="13.5" customHeight="1">
      <c r="B767" s="98" t="str">
        <f>CONCATENATE("- Documento de Solicitação: ",INFO!$B$24)</f>
        <v>- Documento de Solicitação: TESTE AZUL</v>
      </c>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c r="AA767" s="121"/>
      <c r="AB767" s="121"/>
    </row>
    <row r="768" spans="2:29" ht="13.5" customHeight="1">
      <c r="B768" s="98" t="str">
        <f>CONCATENATE("- Local: ",INFO!$C$18)</f>
        <v>- Local: GUAIRA - PR</v>
      </c>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c r="AA768" s="121"/>
      <c r="AB768" s="121"/>
    </row>
    <row r="769" spans="2:29" ht="13.5" customHeight="1">
      <c r="B769" s="98" t="str">
        <f>CONCATENATE("- Periodo: ",INFO!$C$10," a ",INFO!$C$19)</f>
        <v xml:space="preserve">- Periodo: 22/7/2025  a 23/8/2025 </v>
      </c>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c r="AA769" s="121"/>
      <c r="AB769" s="121"/>
    </row>
    <row r="770" spans="2:29" ht="13.5" customHeight="1">
      <c r="B770" s="98" t="str">
        <f>CONCATENATE("- Nr Dias: ",INFO!$C$20)</f>
        <v>- Nr Dias: 33</v>
      </c>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c r="AA770" s="121"/>
      <c r="AB770" s="121"/>
    </row>
    <row r="771" spans="2:29" ht="13.5" customHeight="1">
      <c r="B771" s="98" t="e">
        <f>CONCATENATE("- Valor Estimado: R$ ",INDEX(QSGR!$J$16:$J$11170,AC764))</f>
        <v>#N/A</v>
      </c>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c r="AA771" s="121"/>
      <c r="AB771" s="121"/>
    </row>
    <row r="772" spans="2:29" ht="13.5" customHeight="1">
      <c r="B772" s="100"/>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c r="AA772" s="121"/>
      <c r="AB772" s="121"/>
    </row>
    <row r="773" spans="2:29" ht="13.5" customHeight="1">
      <c r="B773" s="98" t="s">
        <v>55</v>
      </c>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c r="AA773" s="121"/>
      <c r="AB773" s="121"/>
      <c r="AC773" s="37">
        <f>AC764+1</f>
        <v>86</v>
      </c>
    </row>
    <row r="774" spans="2:29" ht="13.5" customHeight="1">
      <c r="B774" s="99">
        <f>INDEX(QSGR!$B$16:$B$1570,AC773)</f>
        <v>0</v>
      </c>
      <c r="C774" s="121"/>
      <c r="D774" s="121"/>
      <c r="E774" s="97">
        <f>INDEX(QSGR!$D$16:$D$11170,AC773)</f>
        <v>0</v>
      </c>
      <c r="F774" s="121"/>
      <c r="G774" s="121"/>
      <c r="H774" s="121"/>
      <c r="I774" s="121"/>
      <c r="J774" s="121"/>
      <c r="K774" s="121"/>
      <c r="L774" s="121"/>
      <c r="M774" s="121"/>
      <c r="N774" s="121"/>
      <c r="O774" s="121"/>
      <c r="P774" s="121"/>
      <c r="Q774" s="121"/>
      <c r="R774" s="121"/>
      <c r="S774" s="121"/>
      <c r="T774" s="121"/>
      <c r="U774" s="121"/>
      <c r="V774" s="121"/>
      <c r="W774" s="121"/>
      <c r="X774" s="121"/>
      <c r="Y774" s="121"/>
      <c r="Z774" s="121"/>
      <c r="AA774" s="121"/>
      <c r="AB774" s="121"/>
    </row>
    <row r="775" spans="2:29" ht="13.5" customHeight="1">
      <c r="B775" s="96" t="str">
        <f>CONCATENATE("- Evento: ",INFO!$B$22)</f>
        <v>- Evento: PARTICIPAR DA OPERAÇÃO HORUS.</v>
      </c>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c r="AA775" s="121"/>
      <c r="AB775" s="121"/>
    </row>
    <row r="776" spans="2:29" ht="13.5" customHeight="1">
      <c r="B776" s="98" t="str">
        <f>CONCATENATE("- Documento de Solicitação: ",INFO!$B$24)</f>
        <v>- Documento de Solicitação: TESTE AZUL</v>
      </c>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c r="AA776" s="121"/>
      <c r="AB776" s="121"/>
    </row>
    <row r="777" spans="2:29" ht="13.5" customHeight="1">
      <c r="B777" s="98" t="str">
        <f>CONCATENATE("- Local: ",INFO!$C$18)</f>
        <v>- Local: GUAIRA - PR</v>
      </c>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c r="AA777" s="121"/>
      <c r="AB777" s="121"/>
    </row>
    <row r="778" spans="2:29" ht="13.5" customHeight="1">
      <c r="B778" s="98" t="str">
        <f>CONCATENATE("- Periodo: ",INFO!$C$10," a ",INFO!$C$19)</f>
        <v xml:space="preserve">- Periodo: 22/7/2025  a 23/8/2025 </v>
      </c>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c r="AA778" s="121"/>
      <c r="AB778" s="121"/>
    </row>
    <row r="779" spans="2:29" ht="13.5" customHeight="1">
      <c r="B779" s="98" t="str">
        <f>CONCATENATE("- Nr Dias: ",INFO!$C$20)</f>
        <v>- Nr Dias: 33</v>
      </c>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c r="AA779" s="121"/>
      <c r="AB779" s="121"/>
    </row>
    <row r="780" spans="2:29" ht="13.5" customHeight="1">
      <c r="B780" s="98" t="e">
        <f>CONCATENATE("- Valor Estimado: R$ ",INDEX(QSGR!$J$16:$J$11170,AC773))</f>
        <v>#N/A</v>
      </c>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c r="AA780" s="121"/>
      <c r="AB780" s="121"/>
    </row>
    <row r="781" spans="2:29" ht="13.5" customHeight="1">
      <c r="B781" s="100"/>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c r="AA781" s="121"/>
      <c r="AB781" s="121"/>
    </row>
    <row r="782" spans="2:29" ht="13.5" customHeight="1">
      <c r="B782" s="98" t="s">
        <v>55</v>
      </c>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c r="AA782" s="121"/>
      <c r="AB782" s="121"/>
      <c r="AC782" s="37">
        <f>AC773+1</f>
        <v>87</v>
      </c>
    </row>
    <row r="783" spans="2:29" ht="13.5" customHeight="1">
      <c r="B783" s="99">
        <f>INDEX(QSGR!$B$16:$B$1570,AC782)</f>
        <v>0</v>
      </c>
      <c r="C783" s="121"/>
      <c r="D783" s="121"/>
      <c r="E783" s="97">
        <f>INDEX(QSGR!$D$16:$D$11170,AC782)</f>
        <v>0</v>
      </c>
      <c r="F783" s="121"/>
      <c r="G783" s="121"/>
      <c r="H783" s="121"/>
      <c r="I783" s="121"/>
      <c r="J783" s="121"/>
      <c r="K783" s="121"/>
      <c r="L783" s="121"/>
      <c r="M783" s="121"/>
      <c r="N783" s="121"/>
      <c r="O783" s="121"/>
      <c r="P783" s="121"/>
      <c r="Q783" s="121"/>
      <c r="R783" s="121"/>
      <c r="S783" s="121"/>
      <c r="T783" s="121"/>
      <c r="U783" s="121"/>
      <c r="V783" s="121"/>
      <c r="W783" s="121"/>
      <c r="X783" s="121"/>
      <c r="Y783" s="121"/>
      <c r="Z783" s="121"/>
      <c r="AA783" s="121"/>
      <c r="AB783" s="121"/>
    </row>
    <row r="784" spans="2:29" ht="13.5" customHeight="1">
      <c r="B784" s="96" t="str">
        <f>CONCATENATE("- Evento: ",INFO!$B$22)</f>
        <v>- Evento: PARTICIPAR DA OPERAÇÃO HORUS.</v>
      </c>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c r="AA784" s="121"/>
      <c r="AB784" s="121"/>
    </row>
    <row r="785" spans="2:29" ht="13.5" customHeight="1">
      <c r="B785" s="98" t="str">
        <f>CONCATENATE("- Documento de Solicitação: ",INFO!$B$24)</f>
        <v>- Documento de Solicitação: TESTE AZUL</v>
      </c>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c r="AA785" s="121"/>
      <c r="AB785" s="121"/>
    </row>
    <row r="786" spans="2:29" ht="13.5" customHeight="1">
      <c r="B786" s="98" t="str">
        <f>CONCATENATE("- Local: ",INFO!$C$18)</f>
        <v>- Local: GUAIRA - PR</v>
      </c>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c r="AA786" s="121"/>
      <c r="AB786" s="121"/>
    </row>
    <row r="787" spans="2:29" ht="13.5" customHeight="1">
      <c r="B787" s="98" t="str">
        <f>CONCATENATE("- Periodo: ",INFO!$C$10," a ",INFO!$C$19)</f>
        <v xml:space="preserve">- Periodo: 22/7/2025  a 23/8/2025 </v>
      </c>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c r="AA787" s="121"/>
      <c r="AB787" s="121"/>
    </row>
    <row r="788" spans="2:29" ht="13.5" customHeight="1">
      <c r="B788" s="98" t="str">
        <f>CONCATENATE("- Nr Dias: ",INFO!$C$20)</f>
        <v>- Nr Dias: 33</v>
      </c>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c r="AA788" s="121"/>
      <c r="AB788" s="121"/>
    </row>
    <row r="789" spans="2:29" ht="13.5" customHeight="1">
      <c r="B789" s="98" t="e">
        <f>CONCATENATE("- Valor Estimado: R$ ",INDEX(QSGR!$J$16:$J$11170,AC782))</f>
        <v>#N/A</v>
      </c>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c r="AA789" s="121"/>
      <c r="AB789" s="121"/>
    </row>
    <row r="790" spans="2:29" ht="13.5" customHeight="1">
      <c r="B790" s="100"/>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c r="AA790" s="121"/>
      <c r="AB790" s="121"/>
    </row>
    <row r="791" spans="2:29" ht="13.5" customHeight="1">
      <c r="B791" s="98" t="s">
        <v>55</v>
      </c>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c r="AA791" s="121"/>
      <c r="AB791" s="121"/>
      <c r="AC791" s="37">
        <f>AC782+1</f>
        <v>88</v>
      </c>
    </row>
    <row r="792" spans="2:29" ht="13.5" customHeight="1">
      <c r="B792" s="99">
        <f>INDEX(QSGR!$B$16:$B$1570,AC791)</f>
        <v>0</v>
      </c>
      <c r="C792" s="121"/>
      <c r="D792" s="121"/>
      <c r="E792" s="97">
        <f>INDEX(QSGR!$D$16:$D$11170,AC791)</f>
        <v>0</v>
      </c>
      <c r="F792" s="121"/>
      <c r="G792" s="121"/>
      <c r="H792" s="121"/>
      <c r="I792" s="121"/>
      <c r="J792" s="121"/>
      <c r="K792" s="121"/>
      <c r="L792" s="121"/>
      <c r="M792" s="121"/>
      <c r="N792" s="121"/>
      <c r="O792" s="121"/>
      <c r="P792" s="121"/>
      <c r="Q792" s="121"/>
      <c r="R792" s="121"/>
      <c r="S792" s="121"/>
      <c r="T792" s="121"/>
      <c r="U792" s="121"/>
      <c r="V792" s="121"/>
      <c r="W792" s="121"/>
      <c r="X792" s="121"/>
      <c r="Y792" s="121"/>
      <c r="Z792" s="121"/>
      <c r="AA792" s="121"/>
      <c r="AB792" s="121"/>
    </row>
    <row r="793" spans="2:29" ht="13.5" customHeight="1">
      <c r="B793" s="96" t="str">
        <f>CONCATENATE("- Evento: ",INFO!$B$22)</f>
        <v>- Evento: PARTICIPAR DA OPERAÇÃO HORUS.</v>
      </c>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c r="AA793" s="121"/>
      <c r="AB793" s="121"/>
    </row>
    <row r="794" spans="2:29" ht="13.5" customHeight="1">
      <c r="B794" s="98" t="str">
        <f>CONCATENATE("- Documento de Solicitação: ",INFO!$B$24)</f>
        <v>- Documento de Solicitação: TESTE AZUL</v>
      </c>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c r="AA794" s="121"/>
      <c r="AB794" s="121"/>
    </row>
    <row r="795" spans="2:29" ht="13.5" customHeight="1">
      <c r="B795" s="98" t="str">
        <f>CONCATENATE("- Local: ",INFO!$C$18)</f>
        <v>- Local: GUAIRA - PR</v>
      </c>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c r="AA795" s="121"/>
      <c r="AB795" s="121"/>
    </row>
    <row r="796" spans="2:29" ht="13.5" customHeight="1">
      <c r="B796" s="98" t="str">
        <f>CONCATENATE("- Periodo: ",INFO!$C$10," a ",INFO!$C$19)</f>
        <v xml:space="preserve">- Periodo: 22/7/2025  a 23/8/2025 </v>
      </c>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c r="AA796" s="121"/>
      <c r="AB796" s="121"/>
    </row>
    <row r="797" spans="2:29" ht="13.5" customHeight="1">
      <c r="B797" s="98" t="str">
        <f>CONCATENATE("- Nr Dias: ",INFO!$C$20)</f>
        <v>- Nr Dias: 33</v>
      </c>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c r="AA797" s="121"/>
      <c r="AB797" s="121"/>
    </row>
    <row r="798" spans="2:29" ht="13.5" customHeight="1">
      <c r="B798" s="98" t="e">
        <f>CONCATENATE("- Valor Estimado: R$ ",INDEX(QSGR!$J$16:$J$11170,AC791))</f>
        <v>#N/A</v>
      </c>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c r="AA798" s="121"/>
      <c r="AB798" s="121"/>
    </row>
    <row r="799" spans="2:29" ht="13.5" customHeight="1">
      <c r="B799" s="100"/>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c r="AA799" s="121"/>
      <c r="AB799" s="121"/>
    </row>
    <row r="800" spans="2:29" ht="13.5" customHeight="1">
      <c r="B800" s="98" t="s">
        <v>55</v>
      </c>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c r="AA800" s="121"/>
      <c r="AB800" s="121"/>
      <c r="AC800" s="37">
        <f>AC791+1</f>
        <v>89</v>
      </c>
    </row>
    <row r="801" spans="2:29" ht="13.5" customHeight="1">
      <c r="B801" s="99">
        <f>INDEX(QSGR!$B$16:$B$1570,AC800)</f>
        <v>0</v>
      </c>
      <c r="C801" s="121"/>
      <c r="D801" s="121"/>
      <c r="E801" s="97">
        <f>INDEX(QSGR!$D$16:$D$11170,AC800)</f>
        <v>0</v>
      </c>
      <c r="F801" s="121"/>
      <c r="G801" s="121"/>
      <c r="H801" s="121"/>
      <c r="I801" s="121"/>
      <c r="J801" s="121"/>
      <c r="K801" s="121"/>
      <c r="L801" s="121"/>
      <c r="M801" s="121"/>
      <c r="N801" s="121"/>
      <c r="O801" s="121"/>
      <c r="P801" s="121"/>
      <c r="Q801" s="121"/>
      <c r="R801" s="121"/>
      <c r="S801" s="121"/>
      <c r="T801" s="121"/>
      <c r="U801" s="121"/>
      <c r="V801" s="121"/>
      <c r="W801" s="121"/>
      <c r="X801" s="121"/>
      <c r="Y801" s="121"/>
      <c r="Z801" s="121"/>
      <c r="AA801" s="121"/>
      <c r="AB801" s="121"/>
    </row>
    <row r="802" spans="2:29" ht="13.5" customHeight="1">
      <c r="B802" s="96" t="str">
        <f>CONCATENATE("- Evento: ",INFO!$B$22)</f>
        <v>- Evento: PARTICIPAR DA OPERAÇÃO HORUS.</v>
      </c>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c r="AA802" s="121"/>
      <c r="AB802" s="121"/>
    </row>
    <row r="803" spans="2:29" ht="13.5" customHeight="1">
      <c r="B803" s="98" t="str">
        <f>CONCATENATE("- Documento de Solicitação: ",INFO!$B$24)</f>
        <v>- Documento de Solicitação: TESTE AZUL</v>
      </c>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c r="AA803" s="121"/>
      <c r="AB803" s="121"/>
    </row>
    <row r="804" spans="2:29" ht="13.5" customHeight="1">
      <c r="B804" s="98" t="str">
        <f>CONCATENATE("- Local: ",INFO!$C$18)</f>
        <v>- Local: GUAIRA - PR</v>
      </c>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c r="AA804" s="121"/>
      <c r="AB804" s="121"/>
    </row>
    <row r="805" spans="2:29" ht="13.5" customHeight="1">
      <c r="B805" s="98" t="str">
        <f>CONCATENATE("- Periodo: ",INFO!$C$10," a ",INFO!$C$19)</f>
        <v xml:space="preserve">- Periodo: 22/7/2025  a 23/8/2025 </v>
      </c>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c r="AA805" s="121"/>
      <c r="AB805" s="121"/>
    </row>
    <row r="806" spans="2:29" ht="13.5" customHeight="1">
      <c r="B806" s="98" t="str">
        <f>CONCATENATE("- Nr Dias: ",INFO!$C$20)</f>
        <v>- Nr Dias: 33</v>
      </c>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c r="AA806" s="121"/>
      <c r="AB806" s="121"/>
    </row>
    <row r="807" spans="2:29" ht="13.5" customHeight="1">
      <c r="B807" s="98" t="e">
        <f>CONCATENATE("- Valor Estimado: R$ ",INDEX(QSGR!$J$16:$J$11170,AC800))</f>
        <v>#N/A</v>
      </c>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c r="AA807" s="121"/>
      <c r="AB807" s="121"/>
    </row>
    <row r="808" spans="2:29" ht="13.5" customHeight="1">
      <c r="B808" s="100"/>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c r="AA808" s="121"/>
      <c r="AB808" s="121"/>
    </row>
    <row r="809" spans="2:29" ht="13.5" customHeight="1">
      <c r="B809" s="98" t="s">
        <v>55</v>
      </c>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c r="AA809" s="121"/>
      <c r="AB809" s="121"/>
      <c r="AC809" s="37">
        <f>AC800+1</f>
        <v>90</v>
      </c>
    </row>
    <row r="810" spans="2:29" ht="13.5" customHeight="1">
      <c r="B810" s="99">
        <f>INDEX(QSGR!$B$16:$B$1570,AC809)</f>
        <v>0</v>
      </c>
      <c r="C810" s="121"/>
      <c r="D810" s="121"/>
      <c r="E810" s="97">
        <f>INDEX(QSGR!$D$16:$D$11170,AC809)</f>
        <v>0</v>
      </c>
      <c r="F810" s="121"/>
      <c r="G810" s="121"/>
      <c r="H810" s="121"/>
      <c r="I810" s="121"/>
      <c r="J810" s="121"/>
      <c r="K810" s="121"/>
      <c r="L810" s="121"/>
      <c r="M810" s="121"/>
      <c r="N810" s="121"/>
      <c r="O810" s="121"/>
      <c r="P810" s="121"/>
      <c r="Q810" s="121"/>
      <c r="R810" s="121"/>
      <c r="S810" s="121"/>
      <c r="T810" s="121"/>
      <c r="U810" s="121"/>
      <c r="V810" s="121"/>
      <c r="W810" s="121"/>
      <c r="X810" s="121"/>
      <c r="Y810" s="121"/>
      <c r="Z810" s="121"/>
      <c r="AA810" s="121"/>
      <c r="AB810" s="121"/>
    </row>
    <row r="811" spans="2:29" ht="13.5" customHeight="1">
      <c r="B811" s="96" t="str">
        <f>CONCATENATE("- Evento: ",INFO!$B$22)</f>
        <v>- Evento: PARTICIPAR DA OPERAÇÃO HORUS.</v>
      </c>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c r="AA811" s="121"/>
      <c r="AB811" s="121"/>
    </row>
    <row r="812" spans="2:29" ht="13.5" customHeight="1">
      <c r="B812" s="98" t="str">
        <f>CONCATENATE("- Documento de Solicitação: ",INFO!$B$24)</f>
        <v>- Documento de Solicitação: TESTE AZUL</v>
      </c>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c r="AA812" s="121"/>
      <c r="AB812" s="121"/>
    </row>
    <row r="813" spans="2:29" ht="13.5" customHeight="1">
      <c r="B813" s="98" t="str">
        <f>CONCATENATE("- Local: ",INFO!$C$18)</f>
        <v>- Local: GUAIRA - PR</v>
      </c>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c r="AA813" s="121"/>
      <c r="AB813" s="121"/>
    </row>
    <row r="814" spans="2:29" ht="13.5" customHeight="1">
      <c r="B814" s="98" t="str">
        <f>CONCATENATE("- Periodo: ",INFO!$C$10," a ",INFO!$C$19)</f>
        <v xml:space="preserve">- Periodo: 22/7/2025  a 23/8/2025 </v>
      </c>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c r="AA814" s="121"/>
      <c r="AB814" s="121"/>
    </row>
    <row r="815" spans="2:29" ht="13.5" customHeight="1">
      <c r="B815" s="98" t="str">
        <f>CONCATENATE("- Nr Dias: ",INFO!$C$20)</f>
        <v>- Nr Dias: 33</v>
      </c>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c r="AA815" s="121"/>
      <c r="AB815" s="121"/>
    </row>
    <row r="816" spans="2:29" ht="13.5" customHeight="1">
      <c r="B816" s="98" t="e">
        <f>CONCATENATE("- Valor Estimado: R$ ",INDEX(QSGR!$J$16:$J$11170,AC809))</f>
        <v>#N/A</v>
      </c>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c r="AA816" s="121"/>
      <c r="AB816" s="121"/>
    </row>
    <row r="817" spans="2:29" ht="13.5" customHeight="1">
      <c r="B817" s="100"/>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c r="AA817" s="121"/>
      <c r="AB817" s="121"/>
    </row>
    <row r="818" spans="2:29" ht="13.5" customHeight="1">
      <c r="B818" s="98" t="s">
        <v>55</v>
      </c>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c r="AA818" s="121"/>
      <c r="AB818" s="121"/>
      <c r="AC818" s="37">
        <f>AC809+1</f>
        <v>91</v>
      </c>
    </row>
    <row r="819" spans="2:29" ht="13.5" customHeight="1">
      <c r="B819" s="99">
        <f>INDEX(QSGR!$B$16:$B$1570,AC818)</f>
        <v>0</v>
      </c>
      <c r="C819" s="121"/>
      <c r="D819" s="121"/>
      <c r="E819" s="97">
        <f>INDEX(QSGR!$D$16:$D$11170,AC818)</f>
        <v>0</v>
      </c>
      <c r="F819" s="121"/>
      <c r="G819" s="121"/>
      <c r="H819" s="121"/>
      <c r="I819" s="121"/>
      <c r="J819" s="121"/>
      <c r="K819" s="121"/>
      <c r="L819" s="121"/>
      <c r="M819" s="121"/>
      <c r="N819" s="121"/>
      <c r="O819" s="121"/>
      <c r="P819" s="121"/>
      <c r="Q819" s="121"/>
      <c r="R819" s="121"/>
      <c r="S819" s="121"/>
      <c r="T819" s="121"/>
      <c r="U819" s="121"/>
      <c r="V819" s="121"/>
      <c r="W819" s="121"/>
      <c r="X819" s="121"/>
      <c r="Y819" s="121"/>
      <c r="Z819" s="121"/>
      <c r="AA819" s="121"/>
      <c r="AB819" s="121"/>
    </row>
    <row r="820" spans="2:29" ht="13.5" customHeight="1">
      <c r="B820" s="96" t="str">
        <f>CONCATENATE("- Evento: ",INFO!$B$22)</f>
        <v>- Evento: PARTICIPAR DA OPERAÇÃO HORUS.</v>
      </c>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c r="AB820" s="121"/>
    </row>
    <row r="821" spans="2:29" ht="13.5" customHeight="1">
      <c r="B821" s="98" t="str">
        <f>CONCATENATE("- Documento de Solicitação: ",INFO!$B$24)</f>
        <v>- Documento de Solicitação: TESTE AZUL</v>
      </c>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c r="AA821" s="121"/>
      <c r="AB821" s="121"/>
    </row>
    <row r="822" spans="2:29" ht="13.5" customHeight="1">
      <c r="B822" s="98" t="str">
        <f>CONCATENATE("- Local: ",INFO!$C$18)</f>
        <v>- Local: GUAIRA - PR</v>
      </c>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c r="AA822" s="121"/>
      <c r="AB822" s="121"/>
    </row>
    <row r="823" spans="2:29" ht="13.5" customHeight="1">
      <c r="B823" s="98" t="str">
        <f>CONCATENATE("- Periodo: ",INFO!$C$10," a ",INFO!$C$19)</f>
        <v xml:space="preserve">- Periodo: 22/7/2025  a 23/8/2025 </v>
      </c>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c r="AA823" s="121"/>
      <c r="AB823" s="121"/>
    </row>
    <row r="824" spans="2:29" ht="13.5" customHeight="1">
      <c r="B824" s="98" t="str">
        <f>CONCATENATE("- Nr Dias: ",INFO!$C$20)</f>
        <v>- Nr Dias: 33</v>
      </c>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c r="AA824" s="121"/>
      <c r="AB824" s="121"/>
    </row>
    <row r="825" spans="2:29" ht="13.5" customHeight="1">
      <c r="B825" s="98" t="e">
        <f>CONCATENATE("- Valor Estimado: R$ ",INDEX(QSGR!$J$16:$J$11170,AC818))</f>
        <v>#N/A</v>
      </c>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c r="AA825" s="121"/>
      <c r="AB825" s="121"/>
    </row>
    <row r="826" spans="2:29" ht="13.5" customHeight="1">
      <c r="B826" s="100"/>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c r="AA826" s="121"/>
      <c r="AB826" s="121"/>
    </row>
    <row r="827" spans="2:29" ht="13.5" customHeight="1">
      <c r="B827" s="98" t="s">
        <v>55</v>
      </c>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c r="AA827" s="121"/>
      <c r="AB827" s="121"/>
      <c r="AC827" s="37">
        <f>AC818+1</f>
        <v>92</v>
      </c>
    </row>
    <row r="828" spans="2:29" ht="13.5" customHeight="1">
      <c r="B828" s="99">
        <f>INDEX(QSGR!$B$16:$B$1570,AC827)</f>
        <v>0</v>
      </c>
      <c r="C828" s="121"/>
      <c r="D828" s="121"/>
      <c r="E828" s="97">
        <f>INDEX(QSGR!$D$16:$D$11170,AC827)</f>
        <v>0</v>
      </c>
      <c r="F828" s="121"/>
      <c r="G828" s="121"/>
      <c r="H828" s="121"/>
      <c r="I828" s="121"/>
      <c r="J828" s="121"/>
      <c r="K828" s="121"/>
      <c r="L828" s="121"/>
      <c r="M828" s="121"/>
      <c r="N828" s="121"/>
      <c r="O828" s="121"/>
      <c r="P828" s="121"/>
      <c r="Q828" s="121"/>
      <c r="R828" s="121"/>
      <c r="S828" s="121"/>
      <c r="T828" s="121"/>
      <c r="U828" s="121"/>
      <c r="V828" s="121"/>
      <c r="W828" s="121"/>
      <c r="X828" s="121"/>
      <c r="Y828" s="121"/>
      <c r="Z828" s="121"/>
      <c r="AA828" s="121"/>
      <c r="AB828" s="121"/>
    </row>
    <row r="829" spans="2:29" ht="13.5" customHeight="1">
      <c r="B829" s="96" t="str">
        <f>CONCATENATE("- Evento: ",INFO!$B$22)</f>
        <v>- Evento: PARTICIPAR DA OPERAÇÃO HORUS.</v>
      </c>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c r="AA829" s="121"/>
      <c r="AB829" s="121"/>
    </row>
    <row r="830" spans="2:29" ht="13.5" customHeight="1">
      <c r="B830" s="98" t="str">
        <f>CONCATENATE("- Documento de Solicitação: ",INFO!$B$24)</f>
        <v>- Documento de Solicitação: TESTE AZUL</v>
      </c>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c r="AA830" s="121"/>
      <c r="AB830" s="121"/>
    </row>
    <row r="831" spans="2:29" ht="13.5" customHeight="1">
      <c r="B831" s="98" t="str">
        <f>CONCATENATE("- Local: ",INFO!$C$18)</f>
        <v>- Local: GUAIRA - PR</v>
      </c>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c r="AA831" s="121"/>
      <c r="AB831" s="121"/>
    </row>
    <row r="832" spans="2:29" ht="13.5" customHeight="1">
      <c r="B832" s="98" t="str">
        <f>CONCATENATE("- Periodo: ",INFO!$C$10," a ",INFO!$C$19)</f>
        <v xml:space="preserve">- Periodo: 22/7/2025  a 23/8/2025 </v>
      </c>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c r="AA832" s="121"/>
      <c r="AB832" s="121"/>
    </row>
    <row r="833" spans="2:29" ht="13.5" customHeight="1">
      <c r="B833" s="98" t="str">
        <f>CONCATENATE("- Nr Dias: ",INFO!$C$20)</f>
        <v>- Nr Dias: 33</v>
      </c>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c r="AA833" s="121"/>
      <c r="AB833" s="121"/>
    </row>
    <row r="834" spans="2:29" ht="13.5" customHeight="1">
      <c r="B834" s="98" t="e">
        <f>CONCATENATE("- Valor Estimado: R$ ",INDEX(QSGR!$J$16:$J$11170,AC827))</f>
        <v>#N/A</v>
      </c>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c r="AA834" s="121"/>
      <c r="AB834" s="121"/>
    </row>
    <row r="835" spans="2:29" ht="13.5" customHeight="1">
      <c r="B835" s="100"/>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c r="AA835" s="121"/>
      <c r="AB835" s="121"/>
    </row>
    <row r="836" spans="2:29" ht="13.5" customHeight="1">
      <c r="B836" s="98" t="s">
        <v>55</v>
      </c>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c r="AA836" s="121"/>
      <c r="AB836" s="121"/>
      <c r="AC836" s="37">
        <f>AC827+1</f>
        <v>93</v>
      </c>
    </row>
    <row r="837" spans="2:29" ht="13.5" customHeight="1">
      <c r="B837" s="99">
        <f>INDEX(QSGR!$B$16:$B$1570,AC836)</f>
        <v>0</v>
      </c>
      <c r="C837" s="121"/>
      <c r="D837" s="121"/>
      <c r="E837" s="97">
        <f>INDEX(QSGR!$D$16:$D$11170,AC836)</f>
        <v>0</v>
      </c>
      <c r="F837" s="121"/>
      <c r="G837" s="121"/>
      <c r="H837" s="121"/>
      <c r="I837" s="121"/>
      <c r="J837" s="121"/>
      <c r="K837" s="121"/>
      <c r="L837" s="121"/>
      <c r="M837" s="121"/>
      <c r="N837" s="121"/>
      <c r="O837" s="121"/>
      <c r="P837" s="121"/>
      <c r="Q837" s="121"/>
      <c r="R837" s="121"/>
      <c r="S837" s="121"/>
      <c r="T837" s="121"/>
      <c r="U837" s="121"/>
      <c r="V837" s="121"/>
      <c r="W837" s="121"/>
      <c r="X837" s="121"/>
      <c r="Y837" s="121"/>
      <c r="Z837" s="121"/>
      <c r="AA837" s="121"/>
      <c r="AB837" s="121"/>
    </row>
    <row r="838" spans="2:29" ht="13.5" customHeight="1">
      <c r="B838" s="96" t="str">
        <f>CONCATENATE("- Evento: ",INFO!$B$22)</f>
        <v>- Evento: PARTICIPAR DA OPERAÇÃO HORUS.</v>
      </c>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c r="AA838" s="121"/>
      <c r="AB838" s="121"/>
    </row>
    <row r="839" spans="2:29" ht="13.5" customHeight="1">
      <c r="B839" s="98" t="str">
        <f>CONCATENATE("- Documento de Solicitação: ",INFO!$B$24)</f>
        <v>- Documento de Solicitação: TESTE AZUL</v>
      </c>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c r="AA839" s="121"/>
      <c r="AB839" s="121"/>
    </row>
    <row r="840" spans="2:29" ht="13.5" customHeight="1">
      <c r="B840" s="98" t="str">
        <f>CONCATENATE("- Local: ",INFO!$C$18)</f>
        <v>- Local: GUAIRA - PR</v>
      </c>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c r="AA840" s="121"/>
      <c r="AB840" s="121"/>
    </row>
    <row r="841" spans="2:29" ht="13.5" customHeight="1">
      <c r="B841" s="98" t="str">
        <f>CONCATENATE("- Periodo: ",INFO!$C$10," a ",INFO!$C$19)</f>
        <v xml:space="preserve">- Periodo: 22/7/2025  a 23/8/2025 </v>
      </c>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c r="AA841" s="121"/>
      <c r="AB841" s="121"/>
    </row>
    <row r="842" spans="2:29" ht="13.5" customHeight="1">
      <c r="B842" s="98" t="str">
        <f>CONCATENATE("- Nr Dias: ",INFO!$C$20)</f>
        <v>- Nr Dias: 33</v>
      </c>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c r="AA842" s="121"/>
      <c r="AB842" s="121"/>
    </row>
    <row r="843" spans="2:29" ht="13.5" customHeight="1">
      <c r="B843" s="98" t="e">
        <f>CONCATENATE("- Valor Estimado: R$ ",INDEX(QSGR!$J$16:$J$11170,AC836))</f>
        <v>#N/A</v>
      </c>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c r="AA843" s="121"/>
      <c r="AB843" s="121"/>
    </row>
    <row r="844" spans="2:29" ht="13.5" customHeight="1">
      <c r="B844" s="100"/>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c r="AA844" s="121"/>
      <c r="AB844" s="121"/>
    </row>
    <row r="845" spans="2:29" ht="13.5" customHeight="1">
      <c r="B845" s="98" t="s">
        <v>55</v>
      </c>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c r="AA845" s="121"/>
      <c r="AB845" s="121"/>
      <c r="AC845" s="37">
        <f>AC836+1</f>
        <v>94</v>
      </c>
    </row>
    <row r="846" spans="2:29" ht="13.5" customHeight="1">
      <c r="B846" s="99">
        <f>INDEX(QSGR!$B$16:$B$1570,AC845)</f>
        <v>0</v>
      </c>
      <c r="C846" s="121"/>
      <c r="D846" s="121"/>
      <c r="E846" s="97">
        <f>INDEX(QSGR!$D$16:$D$11170,AC845)</f>
        <v>0</v>
      </c>
      <c r="F846" s="121"/>
      <c r="G846" s="121"/>
      <c r="H846" s="121"/>
      <c r="I846" s="121"/>
      <c r="J846" s="121"/>
      <c r="K846" s="121"/>
      <c r="L846" s="121"/>
      <c r="M846" s="121"/>
      <c r="N846" s="121"/>
      <c r="O846" s="121"/>
      <c r="P846" s="121"/>
      <c r="Q846" s="121"/>
      <c r="R846" s="121"/>
      <c r="S846" s="121"/>
      <c r="T846" s="121"/>
      <c r="U846" s="121"/>
      <c r="V846" s="121"/>
      <c r="W846" s="121"/>
      <c r="X846" s="121"/>
      <c r="Y846" s="121"/>
      <c r="Z846" s="121"/>
      <c r="AA846" s="121"/>
      <c r="AB846" s="121"/>
    </row>
    <row r="847" spans="2:29" ht="13.5" customHeight="1">
      <c r="B847" s="96" t="str">
        <f>CONCATENATE("- Evento: ",INFO!$B$22)</f>
        <v>- Evento: PARTICIPAR DA OPERAÇÃO HORUS.</v>
      </c>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c r="AA847" s="121"/>
      <c r="AB847" s="121"/>
    </row>
    <row r="848" spans="2:29" ht="13.5" customHeight="1">
      <c r="B848" s="98" t="str">
        <f>CONCATENATE("- Documento de Solicitação: ",INFO!$B$24)</f>
        <v>- Documento de Solicitação: TESTE AZUL</v>
      </c>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c r="AA848" s="121"/>
      <c r="AB848" s="121"/>
    </row>
    <row r="849" spans="2:29" ht="13.5" customHeight="1">
      <c r="B849" s="98" t="str">
        <f>CONCATENATE("- Local: ",INFO!$C$18)</f>
        <v>- Local: GUAIRA - PR</v>
      </c>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c r="AA849" s="121"/>
      <c r="AB849" s="121"/>
    </row>
    <row r="850" spans="2:29" ht="13.5" customHeight="1">
      <c r="B850" s="98" t="str">
        <f>CONCATENATE("- Periodo: ",INFO!$C$10," a ",INFO!$C$19)</f>
        <v xml:space="preserve">- Periodo: 22/7/2025  a 23/8/2025 </v>
      </c>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c r="AA850" s="121"/>
      <c r="AB850" s="121"/>
    </row>
    <row r="851" spans="2:29" ht="13.5" customHeight="1">
      <c r="B851" s="98" t="str">
        <f>CONCATENATE("- Nr Dias: ",INFO!$C$20)</f>
        <v>- Nr Dias: 33</v>
      </c>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c r="AA851" s="121"/>
      <c r="AB851" s="121"/>
    </row>
    <row r="852" spans="2:29" ht="13.5" customHeight="1">
      <c r="B852" s="98" t="e">
        <f>CONCATENATE("- Valor Estimado: R$ ",INDEX(QSGR!$J$16:$J$11170,AC845))</f>
        <v>#N/A</v>
      </c>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c r="AA852" s="121"/>
      <c r="AB852" s="121"/>
    </row>
    <row r="853" spans="2:29" ht="13.5" customHeight="1">
      <c r="B853" s="100"/>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c r="AA853" s="121"/>
      <c r="AB853" s="121"/>
    </row>
    <row r="854" spans="2:29" ht="13.5" customHeight="1">
      <c r="B854" s="98" t="s">
        <v>55</v>
      </c>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c r="AA854" s="121"/>
      <c r="AB854" s="121"/>
      <c r="AC854" s="37">
        <f>AC845+1</f>
        <v>95</v>
      </c>
    </row>
    <row r="855" spans="2:29" ht="13.5" customHeight="1">
      <c r="B855" s="99">
        <f>INDEX(QSGR!$B$16:$B$1570,AC854)</f>
        <v>0</v>
      </c>
      <c r="C855" s="121"/>
      <c r="D855" s="121"/>
      <c r="E855" s="97">
        <f>INDEX(QSGR!$D$16:$D$11170,AC854)</f>
        <v>0</v>
      </c>
      <c r="F855" s="121"/>
      <c r="G855" s="121"/>
      <c r="H855" s="121"/>
      <c r="I855" s="121"/>
      <c r="J855" s="121"/>
      <c r="K855" s="121"/>
      <c r="L855" s="121"/>
      <c r="M855" s="121"/>
      <c r="N855" s="121"/>
      <c r="O855" s="121"/>
      <c r="P855" s="121"/>
      <c r="Q855" s="121"/>
      <c r="R855" s="121"/>
      <c r="S855" s="121"/>
      <c r="T855" s="121"/>
      <c r="U855" s="121"/>
      <c r="V855" s="121"/>
      <c r="W855" s="121"/>
      <c r="X855" s="121"/>
      <c r="Y855" s="121"/>
      <c r="Z855" s="121"/>
      <c r="AA855" s="121"/>
      <c r="AB855" s="121"/>
    </row>
    <row r="856" spans="2:29" ht="13.5" customHeight="1">
      <c r="B856" s="96" t="str">
        <f>CONCATENATE("- Evento: ",INFO!$B$22)</f>
        <v>- Evento: PARTICIPAR DA OPERAÇÃO HORUS.</v>
      </c>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c r="AA856" s="121"/>
      <c r="AB856" s="121"/>
    </row>
    <row r="857" spans="2:29" ht="13.5" customHeight="1">
      <c r="B857" s="98" t="str">
        <f>CONCATENATE("- Documento de Solicitação: ",INFO!$B$24)</f>
        <v>- Documento de Solicitação: TESTE AZUL</v>
      </c>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c r="AA857" s="121"/>
      <c r="AB857" s="121"/>
    </row>
    <row r="858" spans="2:29" ht="13.5" customHeight="1">
      <c r="B858" s="98" t="str">
        <f>CONCATENATE("- Local: ",INFO!$C$18)</f>
        <v>- Local: GUAIRA - PR</v>
      </c>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c r="AA858" s="121"/>
      <c r="AB858" s="121"/>
    </row>
    <row r="859" spans="2:29" ht="13.5" customHeight="1">
      <c r="B859" s="98" t="str">
        <f>CONCATENATE("- Periodo: ",INFO!$C$10," a ",INFO!$C$19)</f>
        <v xml:space="preserve">- Periodo: 22/7/2025  a 23/8/2025 </v>
      </c>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c r="AA859" s="121"/>
      <c r="AB859" s="121"/>
    </row>
    <row r="860" spans="2:29" ht="13.5" customHeight="1">
      <c r="B860" s="98" t="str">
        <f>CONCATENATE("- Nr Dias: ",INFO!$C$20)</f>
        <v>- Nr Dias: 33</v>
      </c>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c r="AA860" s="121"/>
      <c r="AB860" s="121"/>
    </row>
    <row r="861" spans="2:29" ht="13.5" customHeight="1">
      <c r="B861" s="98" t="e">
        <f>CONCATENATE("- Valor Estimado: R$ ",INDEX(QSGR!$J$16:$J$11170,AC854))</f>
        <v>#N/A</v>
      </c>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c r="AA861" s="121"/>
      <c r="AB861" s="121"/>
    </row>
    <row r="862" spans="2:29" ht="13.5" customHeight="1">
      <c r="B862" s="100"/>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c r="AA862" s="121"/>
      <c r="AB862" s="121"/>
    </row>
    <row r="863" spans="2:29" ht="13.5" customHeight="1">
      <c r="B863" s="98" t="s">
        <v>55</v>
      </c>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c r="AA863" s="121"/>
      <c r="AB863" s="121"/>
      <c r="AC863" s="37">
        <f>AC854+1</f>
        <v>96</v>
      </c>
    </row>
    <row r="864" spans="2:29" ht="13.5" customHeight="1">
      <c r="B864" s="99">
        <f>INDEX(QSGR!$B$16:$B$1570,AC863)</f>
        <v>0</v>
      </c>
      <c r="C864" s="121"/>
      <c r="D864" s="121"/>
      <c r="E864" s="97">
        <f>INDEX(QSGR!$D$16:$D$11170,AC863)</f>
        <v>0</v>
      </c>
      <c r="F864" s="121"/>
      <c r="G864" s="121"/>
      <c r="H864" s="121"/>
      <c r="I864" s="121"/>
      <c r="J864" s="121"/>
      <c r="K864" s="121"/>
      <c r="L864" s="121"/>
      <c r="M864" s="121"/>
      <c r="N864" s="121"/>
      <c r="O864" s="121"/>
      <c r="P864" s="121"/>
      <c r="Q864" s="121"/>
      <c r="R864" s="121"/>
      <c r="S864" s="121"/>
      <c r="T864" s="121"/>
      <c r="U864" s="121"/>
      <c r="V864" s="121"/>
      <c r="W864" s="121"/>
      <c r="X864" s="121"/>
      <c r="Y864" s="121"/>
      <c r="Z864" s="121"/>
      <c r="AA864" s="121"/>
      <c r="AB864" s="121"/>
    </row>
    <row r="865" spans="2:29" ht="13.5" customHeight="1">
      <c r="B865" s="96" t="str">
        <f>CONCATENATE("- Evento: ",INFO!$B$22)</f>
        <v>- Evento: PARTICIPAR DA OPERAÇÃO HORUS.</v>
      </c>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c r="AA865" s="121"/>
      <c r="AB865" s="121"/>
    </row>
    <row r="866" spans="2:29" ht="13.5" customHeight="1">
      <c r="B866" s="98" t="str">
        <f>CONCATENATE("- Documento de Solicitação: ",INFO!$B$24)</f>
        <v>- Documento de Solicitação: TESTE AZUL</v>
      </c>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c r="AA866" s="121"/>
      <c r="AB866" s="121"/>
    </row>
    <row r="867" spans="2:29" ht="13.5" customHeight="1">
      <c r="B867" s="98" t="str">
        <f>CONCATENATE("- Local: ",INFO!$C$18)</f>
        <v>- Local: GUAIRA - PR</v>
      </c>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c r="AA867" s="121"/>
      <c r="AB867" s="121"/>
    </row>
    <row r="868" spans="2:29" ht="13.5" customHeight="1">
      <c r="B868" s="98" t="str">
        <f>CONCATENATE("- Periodo: ",INFO!$C$10," a ",INFO!$C$19)</f>
        <v xml:space="preserve">- Periodo: 22/7/2025  a 23/8/2025 </v>
      </c>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c r="AA868" s="121"/>
      <c r="AB868" s="121"/>
    </row>
    <row r="869" spans="2:29" ht="13.5" customHeight="1">
      <c r="B869" s="98" t="str">
        <f>CONCATENATE("- Nr Dias: ",INFO!$C$20)</f>
        <v>- Nr Dias: 33</v>
      </c>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c r="AA869" s="121"/>
      <c r="AB869" s="121"/>
    </row>
    <row r="870" spans="2:29" ht="13.5" customHeight="1">
      <c r="B870" s="98" t="e">
        <f>CONCATENATE("- Valor Estimado: R$ ",INDEX(QSGR!$J$16:$J$11170,AC863))</f>
        <v>#N/A</v>
      </c>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c r="AA870" s="121"/>
      <c r="AB870" s="121"/>
    </row>
    <row r="871" spans="2:29" ht="13.5" customHeight="1">
      <c r="B871" s="100"/>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c r="AA871" s="121"/>
      <c r="AB871" s="121"/>
    </row>
    <row r="872" spans="2:29" ht="13.5" customHeight="1">
      <c r="B872" s="98" t="s">
        <v>55</v>
      </c>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c r="AA872" s="121"/>
      <c r="AB872" s="121"/>
      <c r="AC872" s="37">
        <f>AC863+1</f>
        <v>97</v>
      </c>
    </row>
    <row r="873" spans="2:29" ht="13.5" customHeight="1">
      <c r="B873" s="99">
        <f>INDEX(QSGR!$B$16:$B$1570,AC872)</f>
        <v>0</v>
      </c>
      <c r="C873" s="121"/>
      <c r="D873" s="121"/>
      <c r="E873" s="97">
        <f>INDEX(QSGR!$D$16:$D$11170,AC872)</f>
        <v>0</v>
      </c>
      <c r="F873" s="121"/>
      <c r="G873" s="121"/>
      <c r="H873" s="121"/>
      <c r="I873" s="121"/>
      <c r="J873" s="121"/>
      <c r="K873" s="121"/>
      <c r="L873" s="121"/>
      <c r="M873" s="121"/>
      <c r="N873" s="121"/>
      <c r="O873" s="121"/>
      <c r="P873" s="121"/>
      <c r="Q873" s="121"/>
      <c r="R873" s="121"/>
      <c r="S873" s="121"/>
      <c r="T873" s="121"/>
      <c r="U873" s="121"/>
      <c r="V873" s="121"/>
      <c r="W873" s="121"/>
      <c r="X873" s="121"/>
      <c r="Y873" s="121"/>
      <c r="Z873" s="121"/>
      <c r="AA873" s="121"/>
      <c r="AB873" s="121"/>
    </row>
    <row r="874" spans="2:29" ht="13.5" customHeight="1">
      <c r="B874" s="96" t="str">
        <f>CONCATENATE("- Evento: ",INFO!$B$22)</f>
        <v>- Evento: PARTICIPAR DA OPERAÇÃO HORUS.</v>
      </c>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c r="AA874" s="121"/>
      <c r="AB874" s="121"/>
    </row>
    <row r="875" spans="2:29" ht="13.5" customHeight="1">
      <c r="B875" s="98" t="str">
        <f>CONCATENATE("- Documento de Solicitação: ",INFO!$B$24)</f>
        <v>- Documento de Solicitação: TESTE AZUL</v>
      </c>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c r="AA875" s="121"/>
      <c r="AB875" s="121"/>
    </row>
    <row r="876" spans="2:29" ht="13.5" customHeight="1">
      <c r="B876" s="98" t="str">
        <f>CONCATENATE("- Local: ",INFO!$C$18)</f>
        <v>- Local: GUAIRA - PR</v>
      </c>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c r="AA876" s="121"/>
      <c r="AB876" s="121"/>
    </row>
    <row r="877" spans="2:29" ht="13.5" customHeight="1">
      <c r="B877" s="98" t="str">
        <f>CONCATENATE("- Periodo: ",INFO!$C$10," a ",INFO!$C$19)</f>
        <v xml:space="preserve">- Periodo: 22/7/2025  a 23/8/2025 </v>
      </c>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c r="AA877" s="121"/>
      <c r="AB877" s="121"/>
    </row>
    <row r="878" spans="2:29" ht="13.5" customHeight="1">
      <c r="B878" s="98" t="str">
        <f>CONCATENATE("- Nr Dias: ",INFO!$C$20)</f>
        <v>- Nr Dias: 33</v>
      </c>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c r="AA878" s="121"/>
      <c r="AB878" s="121"/>
    </row>
    <row r="879" spans="2:29" ht="13.5" customHeight="1">
      <c r="B879" s="98" t="e">
        <f>CONCATENATE("- Valor Estimado: R$ ",INDEX(QSGR!$J$16:$J$11170,AC872))</f>
        <v>#N/A</v>
      </c>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c r="AA879" s="121"/>
      <c r="AB879" s="121"/>
    </row>
    <row r="880" spans="2:29" ht="13.5" customHeight="1">
      <c r="B880" s="100"/>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c r="AA880" s="121"/>
      <c r="AB880" s="121"/>
    </row>
    <row r="881" spans="2:29" ht="13.5" customHeight="1">
      <c r="B881" s="98" t="s">
        <v>55</v>
      </c>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c r="AA881" s="121"/>
      <c r="AB881" s="121"/>
      <c r="AC881" s="37">
        <f>AC872+1</f>
        <v>98</v>
      </c>
    </row>
    <row r="882" spans="2:29" ht="13.5" customHeight="1">
      <c r="B882" s="99">
        <f>INDEX(QSGR!$B$16:$B$1570,AC881)</f>
        <v>0</v>
      </c>
      <c r="C882" s="121"/>
      <c r="D882" s="121"/>
      <c r="E882" s="97">
        <f>INDEX(QSGR!$D$16:$D$11170,AC881)</f>
        <v>0</v>
      </c>
      <c r="F882" s="121"/>
      <c r="G882" s="121"/>
      <c r="H882" s="121"/>
      <c r="I882" s="121"/>
      <c r="J882" s="121"/>
      <c r="K882" s="121"/>
      <c r="L882" s="121"/>
      <c r="M882" s="121"/>
      <c r="N882" s="121"/>
      <c r="O882" s="121"/>
      <c r="P882" s="121"/>
      <c r="Q882" s="121"/>
      <c r="R882" s="121"/>
      <c r="S882" s="121"/>
      <c r="T882" s="121"/>
      <c r="U882" s="121"/>
      <c r="V882" s="121"/>
      <c r="W882" s="121"/>
      <c r="X882" s="121"/>
      <c r="Y882" s="121"/>
      <c r="Z882" s="121"/>
      <c r="AA882" s="121"/>
      <c r="AB882" s="121"/>
    </row>
    <row r="883" spans="2:29" ht="13.5" customHeight="1">
      <c r="B883" s="96" t="str">
        <f>CONCATENATE("- Evento: ",INFO!$B$22)</f>
        <v>- Evento: PARTICIPAR DA OPERAÇÃO HORUS.</v>
      </c>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c r="AA883" s="121"/>
      <c r="AB883" s="121"/>
    </row>
    <row r="884" spans="2:29" ht="13.5" customHeight="1">
      <c r="B884" s="98" t="str">
        <f>CONCATENATE("- Documento de Solicitação: ",INFO!$B$24)</f>
        <v>- Documento de Solicitação: TESTE AZUL</v>
      </c>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c r="AA884" s="121"/>
      <c r="AB884" s="121"/>
    </row>
    <row r="885" spans="2:29" ht="13.5" customHeight="1">
      <c r="B885" s="98" t="str">
        <f>CONCATENATE("- Local: ",INFO!$C$18)</f>
        <v>- Local: GUAIRA - PR</v>
      </c>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c r="AA885" s="121"/>
      <c r="AB885" s="121"/>
    </row>
    <row r="886" spans="2:29" ht="13.5" customHeight="1">
      <c r="B886" s="98" t="str">
        <f>CONCATENATE("- Periodo: ",INFO!$C$10," a ",INFO!$C$19)</f>
        <v xml:space="preserve">- Periodo: 22/7/2025  a 23/8/2025 </v>
      </c>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c r="AA886" s="121"/>
      <c r="AB886" s="121"/>
    </row>
    <row r="887" spans="2:29" ht="13.5" customHeight="1">
      <c r="B887" s="98" t="str">
        <f>CONCATENATE("- Nr Dias: ",INFO!$C$20)</f>
        <v>- Nr Dias: 33</v>
      </c>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c r="AA887" s="121"/>
      <c r="AB887" s="121"/>
    </row>
    <row r="888" spans="2:29" ht="13.5" customHeight="1">
      <c r="B888" s="98" t="e">
        <f>CONCATENATE("- Valor Estimado: R$ ",INDEX(QSGR!$J$16:$J$11170,AC881))</f>
        <v>#N/A</v>
      </c>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c r="AA888" s="121"/>
      <c r="AB888" s="121"/>
    </row>
    <row r="889" spans="2:29" ht="13.5" customHeight="1">
      <c r="B889" s="100"/>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c r="AA889" s="121"/>
      <c r="AB889" s="121"/>
    </row>
    <row r="890" spans="2:29" ht="13.5" customHeight="1">
      <c r="B890" s="98" t="s">
        <v>55</v>
      </c>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c r="AA890" s="121"/>
      <c r="AB890" s="121"/>
      <c r="AC890" s="37">
        <f>AC881+1</f>
        <v>99</v>
      </c>
    </row>
    <row r="891" spans="2:29" ht="13.5" customHeight="1">
      <c r="B891" s="99">
        <f>INDEX(QSGR!$B$16:$B$1570,AC890)</f>
        <v>0</v>
      </c>
      <c r="C891" s="121"/>
      <c r="D891" s="121"/>
      <c r="E891" s="97">
        <f>INDEX(QSGR!$D$16:$D$11170,AC890)</f>
        <v>0</v>
      </c>
      <c r="F891" s="121"/>
      <c r="G891" s="121"/>
      <c r="H891" s="121"/>
      <c r="I891" s="121"/>
      <c r="J891" s="121"/>
      <c r="K891" s="121"/>
      <c r="L891" s="121"/>
      <c r="M891" s="121"/>
      <c r="N891" s="121"/>
      <c r="O891" s="121"/>
      <c r="P891" s="121"/>
      <c r="Q891" s="121"/>
      <c r="R891" s="121"/>
      <c r="S891" s="121"/>
      <c r="T891" s="121"/>
      <c r="U891" s="121"/>
      <c r="V891" s="121"/>
      <c r="W891" s="121"/>
      <c r="X891" s="121"/>
      <c r="Y891" s="121"/>
      <c r="Z891" s="121"/>
      <c r="AA891" s="121"/>
      <c r="AB891" s="121"/>
    </row>
    <row r="892" spans="2:29" ht="13.5" customHeight="1">
      <c r="B892" s="96" t="str">
        <f>CONCATENATE("- Evento: ",INFO!$B$22)</f>
        <v>- Evento: PARTICIPAR DA OPERAÇÃO HORUS.</v>
      </c>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c r="AA892" s="121"/>
      <c r="AB892" s="121"/>
    </row>
    <row r="893" spans="2:29" ht="13.5" customHeight="1">
      <c r="B893" s="98" t="str">
        <f>CONCATENATE("- Documento de Solicitação: ",INFO!$B$24)</f>
        <v>- Documento de Solicitação: TESTE AZUL</v>
      </c>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c r="AA893" s="121"/>
      <c r="AB893" s="121"/>
    </row>
    <row r="894" spans="2:29" ht="13.5" customHeight="1">
      <c r="B894" s="98" t="str">
        <f>CONCATENATE("- Local: ",INFO!$C$18)</f>
        <v>- Local: GUAIRA - PR</v>
      </c>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c r="AA894" s="121"/>
      <c r="AB894" s="121"/>
    </row>
    <row r="895" spans="2:29" ht="13.5" customHeight="1">
      <c r="B895" s="98" t="str">
        <f>CONCATENATE("- Periodo: ",INFO!$C$10," a ",INFO!$C$19)</f>
        <v xml:space="preserve">- Periodo: 22/7/2025  a 23/8/2025 </v>
      </c>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c r="AA895" s="121"/>
      <c r="AB895" s="121"/>
    </row>
    <row r="896" spans="2:29" ht="13.5" customHeight="1">
      <c r="B896" s="98" t="str">
        <f>CONCATENATE("- Nr Dias: ",INFO!$C$20)</f>
        <v>- Nr Dias: 33</v>
      </c>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c r="AA896" s="121"/>
      <c r="AB896" s="121"/>
    </row>
    <row r="897" spans="2:29" ht="13.5" customHeight="1">
      <c r="B897" s="98" t="e">
        <f>CONCATENATE("- Valor Estimado: R$ ",INDEX(QSGR!$J$16:$J$11170,AC890))</f>
        <v>#N/A</v>
      </c>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c r="AA897" s="121"/>
      <c r="AB897" s="121"/>
    </row>
    <row r="898" spans="2:29" ht="13.5" customHeight="1">
      <c r="B898" s="100"/>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c r="AA898" s="121"/>
      <c r="AB898" s="121"/>
    </row>
    <row r="899" spans="2:29" ht="13.5" customHeight="1">
      <c r="B899" s="98" t="s">
        <v>55</v>
      </c>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c r="AA899" s="121"/>
      <c r="AB899" s="121"/>
      <c r="AC899" s="37">
        <f>AC890+1</f>
        <v>100</v>
      </c>
    </row>
    <row r="900" spans="2:29" ht="13.5" customHeight="1">
      <c r="B900" s="99">
        <f>INDEX(QSGR!$B$16:$B$1570,AC899)</f>
        <v>0</v>
      </c>
      <c r="C900" s="121"/>
      <c r="D900" s="121"/>
      <c r="E900" s="97">
        <f>INDEX(QSGR!$D$16:$D$11170,AC899)</f>
        <v>0</v>
      </c>
      <c r="F900" s="121"/>
      <c r="G900" s="121"/>
      <c r="H900" s="121"/>
      <c r="I900" s="121"/>
      <c r="J900" s="121"/>
      <c r="K900" s="121"/>
      <c r="L900" s="121"/>
      <c r="M900" s="121"/>
      <c r="N900" s="121"/>
      <c r="O900" s="121"/>
      <c r="P900" s="121"/>
      <c r="Q900" s="121"/>
      <c r="R900" s="121"/>
      <c r="S900" s="121"/>
      <c r="T900" s="121"/>
      <c r="U900" s="121"/>
      <c r="V900" s="121"/>
      <c r="W900" s="121"/>
      <c r="X900" s="121"/>
      <c r="Y900" s="121"/>
      <c r="Z900" s="121"/>
      <c r="AA900" s="121"/>
      <c r="AB900" s="121"/>
    </row>
    <row r="901" spans="2:29" ht="13.5" customHeight="1">
      <c r="B901" s="96" t="str">
        <f>CONCATENATE("- Evento: ",INFO!$B$22)</f>
        <v>- Evento: PARTICIPAR DA OPERAÇÃO HORUS.</v>
      </c>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c r="AA901" s="121"/>
      <c r="AB901" s="121"/>
    </row>
    <row r="902" spans="2:29" ht="13.5" customHeight="1">
      <c r="B902" s="98" t="str">
        <f>CONCATENATE("- Documento de Solicitação: ",INFO!$B$24)</f>
        <v>- Documento de Solicitação: TESTE AZUL</v>
      </c>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c r="AA902" s="121"/>
      <c r="AB902" s="121"/>
    </row>
    <row r="903" spans="2:29" ht="13.5" customHeight="1">
      <c r="B903" s="98" t="str">
        <f>CONCATENATE("- Local: ",INFO!$C$18)</f>
        <v>- Local: GUAIRA - PR</v>
      </c>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c r="AA903" s="121"/>
      <c r="AB903" s="121"/>
    </row>
    <row r="904" spans="2:29" ht="13.5" customHeight="1">
      <c r="B904" s="98" t="str">
        <f>CONCATENATE("- Periodo: ",INFO!$C$10," a ",INFO!$C$19)</f>
        <v xml:space="preserve">- Periodo: 22/7/2025  a 23/8/2025 </v>
      </c>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c r="AA904" s="121"/>
      <c r="AB904" s="121"/>
    </row>
    <row r="905" spans="2:29" ht="13.5" customHeight="1">
      <c r="B905" s="98" t="str">
        <f>CONCATENATE("- Nr Dias: ",INFO!$C$20)</f>
        <v>- Nr Dias: 33</v>
      </c>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c r="AA905" s="121"/>
      <c r="AB905" s="121"/>
    </row>
    <row r="906" spans="2:29" ht="13.5" customHeight="1">
      <c r="B906" s="98" t="e">
        <f>CONCATENATE("- Valor Estimado: R$ ",INDEX(QSGR!$J$16:$J$11170,AC899))</f>
        <v>#N/A</v>
      </c>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c r="AA906" s="121"/>
      <c r="AB906" s="121"/>
    </row>
    <row r="907" spans="2:29" ht="13.5" customHeight="1">
      <c r="B907" s="100"/>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c r="AA907" s="121"/>
      <c r="AB907" s="121"/>
    </row>
    <row r="908" spans="2:29" ht="13.5" customHeight="1">
      <c r="B908" s="98" t="s">
        <v>55</v>
      </c>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c r="AA908" s="121"/>
      <c r="AB908" s="121"/>
      <c r="AC908" s="37">
        <f>AC899+1</f>
        <v>101</v>
      </c>
    </row>
    <row r="909" spans="2:29" ht="13.5" customHeight="1">
      <c r="B909" s="99">
        <f>INDEX(QSGR!$B$16:$B$1570,AC908)</f>
        <v>0</v>
      </c>
      <c r="C909" s="121"/>
      <c r="D909" s="121"/>
      <c r="E909" s="97">
        <f>INDEX(QSGR!$D$16:$D$11170,AC908)</f>
        <v>0</v>
      </c>
      <c r="F909" s="121"/>
      <c r="G909" s="121"/>
      <c r="H909" s="121"/>
      <c r="I909" s="121"/>
      <c r="J909" s="121"/>
      <c r="K909" s="121"/>
      <c r="L909" s="121"/>
      <c r="M909" s="121"/>
      <c r="N909" s="121"/>
      <c r="O909" s="121"/>
      <c r="P909" s="121"/>
      <c r="Q909" s="121"/>
      <c r="R909" s="121"/>
      <c r="S909" s="121"/>
      <c r="T909" s="121"/>
      <c r="U909" s="121"/>
      <c r="V909" s="121"/>
      <c r="W909" s="121"/>
      <c r="X909" s="121"/>
      <c r="Y909" s="121"/>
      <c r="Z909" s="121"/>
      <c r="AA909" s="121"/>
      <c r="AB909" s="121"/>
    </row>
    <row r="910" spans="2:29" ht="13.5" customHeight="1">
      <c r="B910" s="96" t="str">
        <f>CONCATENATE("- Evento: ",INFO!$B$22)</f>
        <v>- Evento: PARTICIPAR DA OPERAÇÃO HORUS.</v>
      </c>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c r="AA910" s="121"/>
      <c r="AB910" s="121"/>
    </row>
    <row r="911" spans="2:29" ht="13.5" customHeight="1">
      <c r="B911" s="98" t="str">
        <f>CONCATENATE("- Documento de Solicitação: ",INFO!$B$24)</f>
        <v>- Documento de Solicitação: TESTE AZUL</v>
      </c>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c r="AA911" s="121"/>
      <c r="AB911" s="121"/>
    </row>
    <row r="912" spans="2:29" ht="13.5" customHeight="1">
      <c r="B912" s="98" t="str">
        <f>CONCATENATE("- Local: ",INFO!$C$18)</f>
        <v>- Local: GUAIRA - PR</v>
      </c>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c r="AA912" s="121"/>
      <c r="AB912" s="121"/>
    </row>
    <row r="913" spans="2:29" ht="13.5" customHeight="1">
      <c r="B913" s="98" t="str">
        <f>CONCATENATE("- Periodo: ",INFO!$C$10," a ",INFO!$C$19)</f>
        <v xml:space="preserve">- Periodo: 22/7/2025  a 23/8/2025 </v>
      </c>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c r="AA913" s="121"/>
      <c r="AB913" s="121"/>
    </row>
    <row r="914" spans="2:29" ht="13.5" customHeight="1">
      <c r="B914" s="98" t="str">
        <f>CONCATENATE("- Nr Dias: ",INFO!$C$20)</f>
        <v>- Nr Dias: 33</v>
      </c>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c r="AA914" s="121"/>
      <c r="AB914" s="121"/>
    </row>
    <row r="915" spans="2:29" ht="13.5" customHeight="1">
      <c r="B915" s="98" t="e">
        <f>CONCATENATE("- Valor Estimado: R$ ",INDEX(QSGR!$J$16:$J$11170,AC908))</f>
        <v>#N/A</v>
      </c>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c r="AA915" s="121"/>
      <c r="AB915" s="121"/>
    </row>
    <row r="916" spans="2:29" ht="13.5" customHeight="1">
      <c r="B916" s="100"/>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c r="AA916" s="121"/>
      <c r="AB916" s="121"/>
    </row>
    <row r="917" spans="2:29" ht="13.5" customHeight="1">
      <c r="B917" s="98" t="s">
        <v>55</v>
      </c>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c r="AA917" s="121"/>
      <c r="AB917" s="121"/>
      <c r="AC917" s="37">
        <f>AC908+1</f>
        <v>102</v>
      </c>
    </row>
    <row r="918" spans="2:29" ht="13.5" customHeight="1">
      <c r="B918" s="99">
        <f>INDEX(QSGR!$B$16:$B$1570,AC917)</f>
        <v>0</v>
      </c>
      <c r="C918" s="121"/>
      <c r="D918" s="121"/>
      <c r="E918" s="97">
        <f>INDEX(QSGR!$D$16:$D$11170,AC917)</f>
        <v>0</v>
      </c>
      <c r="F918" s="121"/>
      <c r="G918" s="121"/>
      <c r="H918" s="121"/>
      <c r="I918" s="121"/>
      <c r="J918" s="121"/>
      <c r="K918" s="121"/>
      <c r="L918" s="121"/>
      <c r="M918" s="121"/>
      <c r="N918" s="121"/>
      <c r="O918" s="121"/>
      <c r="P918" s="121"/>
      <c r="Q918" s="121"/>
      <c r="R918" s="121"/>
      <c r="S918" s="121"/>
      <c r="T918" s="121"/>
      <c r="U918" s="121"/>
      <c r="V918" s="121"/>
      <c r="W918" s="121"/>
      <c r="X918" s="121"/>
      <c r="Y918" s="121"/>
      <c r="Z918" s="121"/>
      <c r="AA918" s="121"/>
      <c r="AB918" s="121"/>
    </row>
    <row r="919" spans="2:29" ht="13.5" customHeight="1">
      <c r="B919" s="96" t="str">
        <f>CONCATENATE("- Evento: ",INFO!$B$22)</f>
        <v>- Evento: PARTICIPAR DA OPERAÇÃO HORUS.</v>
      </c>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c r="AA919" s="121"/>
      <c r="AB919" s="121"/>
    </row>
    <row r="920" spans="2:29" ht="13.5" customHeight="1">
      <c r="B920" s="98" t="str">
        <f>CONCATENATE("- Documento de Solicitação: ",INFO!$B$24)</f>
        <v>- Documento de Solicitação: TESTE AZUL</v>
      </c>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c r="AA920" s="121"/>
      <c r="AB920" s="121"/>
    </row>
    <row r="921" spans="2:29" ht="13.5" customHeight="1">
      <c r="B921" s="98" t="str">
        <f>CONCATENATE("- Local: ",INFO!$C$18)</f>
        <v>- Local: GUAIRA - PR</v>
      </c>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c r="AA921" s="121"/>
      <c r="AB921" s="121"/>
    </row>
    <row r="922" spans="2:29" ht="13.5" customHeight="1">
      <c r="B922" s="98" t="str">
        <f>CONCATENATE("- Periodo: ",INFO!$C$10," a ",INFO!$C$19)</f>
        <v xml:space="preserve">- Periodo: 22/7/2025  a 23/8/2025 </v>
      </c>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c r="AA922" s="121"/>
      <c r="AB922" s="121"/>
    </row>
    <row r="923" spans="2:29" ht="13.5" customHeight="1">
      <c r="B923" s="98" t="str">
        <f>CONCATENATE("- Nr Dias: ",INFO!$C$20)</f>
        <v>- Nr Dias: 33</v>
      </c>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c r="AA923" s="121"/>
      <c r="AB923" s="121"/>
    </row>
    <row r="924" spans="2:29" ht="13.5" customHeight="1">
      <c r="B924" s="98" t="e">
        <f>CONCATENATE("- Valor Estimado: R$ ",INDEX(QSGR!$J$16:$J$11170,AC917))</f>
        <v>#N/A</v>
      </c>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c r="AA924" s="121"/>
      <c r="AB924" s="121"/>
    </row>
    <row r="925" spans="2:29" ht="13.5" customHeight="1">
      <c r="B925" s="100"/>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c r="AA925" s="121"/>
      <c r="AB925" s="121"/>
    </row>
    <row r="926" spans="2:29" ht="13.5" customHeight="1">
      <c r="B926" s="98" t="s">
        <v>55</v>
      </c>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c r="AA926" s="121"/>
      <c r="AB926" s="121"/>
      <c r="AC926" s="37">
        <f>AC917+1</f>
        <v>103</v>
      </c>
    </row>
    <row r="927" spans="2:29" ht="13.5" customHeight="1">
      <c r="B927" s="99">
        <f>INDEX(QSGR!$B$16:$B$1570,AC926)</f>
        <v>0</v>
      </c>
      <c r="C927" s="121"/>
      <c r="D927" s="121"/>
      <c r="E927" s="97">
        <f>INDEX(QSGR!$D$16:$D$11170,AC926)</f>
        <v>0</v>
      </c>
      <c r="F927" s="121"/>
      <c r="G927" s="121"/>
      <c r="H927" s="121"/>
      <c r="I927" s="121"/>
      <c r="J927" s="121"/>
      <c r="K927" s="121"/>
      <c r="L927" s="121"/>
      <c r="M927" s="121"/>
      <c r="N927" s="121"/>
      <c r="O927" s="121"/>
      <c r="P927" s="121"/>
      <c r="Q927" s="121"/>
      <c r="R927" s="121"/>
      <c r="S927" s="121"/>
      <c r="T927" s="121"/>
      <c r="U927" s="121"/>
      <c r="V927" s="121"/>
      <c r="W927" s="121"/>
      <c r="X927" s="121"/>
      <c r="Y927" s="121"/>
      <c r="Z927" s="121"/>
      <c r="AA927" s="121"/>
      <c r="AB927" s="121"/>
    </row>
    <row r="928" spans="2:29" ht="13.5" customHeight="1">
      <c r="B928" s="96" t="str">
        <f>CONCATENATE("- Evento: ",INFO!$B$22)</f>
        <v>- Evento: PARTICIPAR DA OPERAÇÃO HORUS.</v>
      </c>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c r="AA928" s="121"/>
      <c r="AB928" s="121"/>
    </row>
    <row r="929" spans="2:29" ht="13.5" customHeight="1">
      <c r="B929" s="98" t="str">
        <f>CONCATENATE("- Documento de Solicitação: ",INFO!$B$24)</f>
        <v>- Documento de Solicitação: TESTE AZUL</v>
      </c>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c r="AA929" s="121"/>
      <c r="AB929" s="121"/>
    </row>
    <row r="930" spans="2:29" ht="13.5" customHeight="1">
      <c r="B930" s="98" t="str">
        <f>CONCATENATE("- Local: ",INFO!$C$18)</f>
        <v>- Local: GUAIRA - PR</v>
      </c>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c r="AA930" s="121"/>
      <c r="AB930" s="121"/>
    </row>
    <row r="931" spans="2:29" ht="13.5" customHeight="1">
      <c r="B931" s="98" t="str">
        <f>CONCATENATE("- Periodo: ",INFO!$C$10," a ",INFO!$C$19)</f>
        <v xml:space="preserve">- Periodo: 22/7/2025  a 23/8/2025 </v>
      </c>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c r="AA931" s="121"/>
      <c r="AB931" s="121"/>
    </row>
    <row r="932" spans="2:29" ht="13.5" customHeight="1">
      <c r="B932" s="98" t="str">
        <f>CONCATENATE("- Nr Dias: ",INFO!$C$20)</f>
        <v>- Nr Dias: 33</v>
      </c>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c r="AA932" s="121"/>
      <c r="AB932" s="121"/>
    </row>
    <row r="933" spans="2:29" ht="13.5" customHeight="1">
      <c r="B933" s="98" t="e">
        <f>CONCATENATE("- Valor Estimado: R$ ",INDEX(QSGR!$J$16:$J$11170,AC926))</f>
        <v>#N/A</v>
      </c>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c r="AA933" s="121"/>
      <c r="AB933" s="121"/>
    </row>
    <row r="934" spans="2:29" ht="13.5" customHeight="1">
      <c r="B934" s="100"/>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c r="AA934" s="121"/>
      <c r="AB934" s="121"/>
    </row>
    <row r="935" spans="2:29" ht="13.5" customHeight="1">
      <c r="B935" s="98" t="s">
        <v>55</v>
      </c>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c r="AA935" s="121"/>
      <c r="AB935" s="121"/>
      <c r="AC935" s="37">
        <f>AC926+1</f>
        <v>104</v>
      </c>
    </row>
    <row r="936" spans="2:29" ht="13.5" customHeight="1">
      <c r="B936" s="99">
        <f>INDEX(QSGR!$B$16:$B$1570,AC935)</f>
        <v>0</v>
      </c>
      <c r="C936" s="121"/>
      <c r="D936" s="121"/>
      <c r="E936" s="97">
        <f>INDEX(QSGR!$D$16:$D$11170,AC935)</f>
        <v>0</v>
      </c>
      <c r="F936" s="121"/>
      <c r="G936" s="121"/>
      <c r="H936" s="121"/>
      <c r="I936" s="121"/>
      <c r="J936" s="121"/>
      <c r="K936" s="121"/>
      <c r="L936" s="121"/>
      <c r="M936" s="121"/>
      <c r="N936" s="121"/>
      <c r="O936" s="121"/>
      <c r="P936" s="121"/>
      <c r="Q936" s="121"/>
      <c r="R936" s="121"/>
      <c r="S936" s="121"/>
      <c r="T936" s="121"/>
      <c r="U936" s="121"/>
      <c r="V936" s="121"/>
      <c r="W936" s="121"/>
      <c r="X936" s="121"/>
      <c r="Y936" s="121"/>
      <c r="Z936" s="121"/>
      <c r="AA936" s="121"/>
      <c r="AB936" s="121"/>
    </row>
    <row r="937" spans="2:29" ht="13.5" customHeight="1">
      <c r="B937" s="96" t="str">
        <f>CONCATENATE("- Evento: ",INFO!$B$22)</f>
        <v>- Evento: PARTICIPAR DA OPERAÇÃO HORUS.</v>
      </c>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c r="AA937" s="121"/>
      <c r="AB937" s="121"/>
    </row>
    <row r="938" spans="2:29" ht="13.5" customHeight="1">
      <c r="B938" s="98" t="str">
        <f>CONCATENATE("- Documento de Solicitação: ",INFO!$B$24)</f>
        <v>- Documento de Solicitação: TESTE AZUL</v>
      </c>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c r="AA938" s="121"/>
      <c r="AB938" s="121"/>
    </row>
    <row r="939" spans="2:29" ht="13.5" customHeight="1">
      <c r="B939" s="98" t="str">
        <f>CONCATENATE("- Local: ",INFO!$C$18)</f>
        <v>- Local: GUAIRA - PR</v>
      </c>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c r="AA939" s="121"/>
      <c r="AB939" s="121"/>
    </row>
    <row r="940" spans="2:29" ht="13.5" customHeight="1">
      <c r="B940" s="98" t="str">
        <f>CONCATENATE("- Periodo: ",INFO!$C$10," a ",INFO!$C$19)</f>
        <v xml:space="preserve">- Periodo: 22/7/2025  a 23/8/2025 </v>
      </c>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c r="AA940" s="121"/>
      <c r="AB940" s="121"/>
    </row>
    <row r="941" spans="2:29" ht="13.5" customHeight="1">
      <c r="B941" s="98" t="str">
        <f>CONCATENATE("- Nr Dias: ",INFO!$C$20)</f>
        <v>- Nr Dias: 33</v>
      </c>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c r="AA941" s="121"/>
      <c r="AB941" s="121"/>
    </row>
    <row r="942" spans="2:29" ht="13.5" customHeight="1">
      <c r="B942" s="98" t="e">
        <f>CONCATENATE("- Valor Estimado: R$ ",INDEX(QSGR!$J$16:$J$11170,AC935))</f>
        <v>#N/A</v>
      </c>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c r="AA942" s="121"/>
      <c r="AB942" s="121"/>
    </row>
    <row r="943" spans="2:29" ht="13.5" customHeight="1">
      <c r="B943" s="100"/>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c r="AA943" s="121"/>
      <c r="AB943" s="121"/>
    </row>
    <row r="944" spans="2:29" ht="13.5" customHeight="1">
      <c r="B944" s="98" t="s">
        <v>55</v>
      </c>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c r="AA944" s="121"/>
      <c r="AB944" s="121"/>
      <c r="AC944" s="37">
        <f>AC935+1</f>
        <v>105</v>
      </c>
    </row>
    <row r="945" spans="2:29" ht="13.5" customHeight="1">
      <c r="B945" s="99">
        <f>INDEX(QSGR!$B$16:$B$1570,AC944)</f>
        <v>0</v>
      </c>
      <c r="C945" s="121"/>
      <c r="D945" s="121"/>
      <c r="E945" s="97">
        <f>INDEX(QSGR!$D$16:$D$11170,AC944)</f>
        <v>0</v>
      </c>
      <c r="F945" s="121"/>
      <c r="G945" s="121"/>
      <c r="H945" s="121"/>
      <c r="I945" s="121"/>
      <c r="J945" s="121"/>
      <c r="K945" s="121"/>
      <c r="L945" s="121"/>
      <c r="M945" s="121"/>
      <c r="N945" s="121"/>
      <c r="O945" s="121"/>
      <c r="P945" s="121"/>
      <c r="Q945" s="121"/>
      <c r="R945" s="121"/>
      <c r="S945" s="121"/>
      <c r="T945" s="121"/>
      <c r="U945" s="121"/>
      <c r="V945" s="121"/>
      <c r="W945" s="121"/>
      <c r="X945" s="121"/>
      <c r="Y945" s="121"/>
      <c r="Z945" s="121"/>
      <c r="AA945" s="121"/>
      <c r="AB945" s="121"/>
    </row>
    <row r="946" spans="2:29" ht="13.5" customHeight="1">
      <c r="B946" s="96" t="str">
        <f>CONCATENATE("- Evento: ",INFO!$B$22)</f>
        <v>- Evento: PARTICIPAR DA OPERAÇÃO HORUS.</v>
      </c>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c r="AA946" s="121"/>
      <c r="AB946" s="121"/>
    </row>
    <row r="947" spans="2:29" ht="13.5" customHeight="1">
      <c r="B947" s="98" t="str">
        <f>CONCATENATE("- Documento de Solicitação: ",INFO!$B$24)</f>
        <v>- Documento de Solicitação: TESTE AZUL</v>
      </c>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c r="AA947" s="121"/>
      <c r="AB947" s="121"/>
    </row>
    <row r="948" spans="2:29" ht="13.5" customHeight="1">
      <c r="B948" s="98" t="str">
        <f>CONCATENATE("- Local: ",INFO!$C$18)</f>
        <v>- Local: GUAIRA - PR</v>
      </c>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c r="AA948" s="121"/>
      <c r="AB948" s="121"/>
    </row>
    <row r="949" spans="2:29" ht="13.5" customHeight="1">
      <c r="B949" s="98" t="str">
        <f>CONCATENATE("- Periodo: ",INFO!$C$10," a ",INFO!$C$19)</f>
        <v xml:space="preserve">- Periodo: 22/7/2025  a 23/8/2025 </v>
      </c>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c r="AA949" s="121"/>
      <c r="AB949" s="121"/>
    </row>
    <row r="950" spans="2:29" ht="13.5" customHeight="1">
      <c r="B950" s="98" t="str">
        <f>CONCATENATE("- Nr Dias: ",INFO!$C$20)</f>
        <v>- Nr Dias: 33</v>
      </c>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c r="AA950" s="121"/>
      <c r="AB950" s="121"/>
    </row>
    <row r="951" spans="2:29" ht="13.5" customHeight="1">
      <c r="B951" s="98" t="e">
        <f>CONCATENATE("- Valor Estimado: R$ ",INDEX(QSGR!$J$16:$J$11170,AC944))</f>
        <v>#N/A</v>
      </c>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c r="AA951" s="121"/>
      <c r="AB951" s="121"/>
    </row>
    <row r="952" spans="2:29" ht="13.5" customHeight="1">
      <c r="B952" s="100"/>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c r="AA952" s="121"/>
      <c r="AB952" s="121"/>
    </row>
    <row r="953" spans="2:29" ht="13.5" customHeight="1">
      <c r="B953" s="98" t="s">
        <v>55</v>
      </c>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c r="AA953" s="121"/>
      <c r="AB953" s="121"/>
      <c r="AC953" s="37">
        <f>AC944+1</f>
        <v>106</v>
      </c>
    </row>
    <row r="954" spans="2:29" ht="13.5" customHeight="1">
      <c r="B954" s="99">
        <f>INDEX(QSGR!$B$16:$B$1570,AC953)</f>
        <v>0</v>
      </c>
      <c r="C954" s="121"/>
      <c r="D954" s="121"/>
      <c r="E954" s="97">
        <f>INDEX(QSGR!$D$16:$D$11170,AC953)</f>
        <v>0</v>
      </c>
      <c r="F954" s="121"/>
      <c r="G954" s="121"/>
      <c r="H954" s="121"/>
      <c r="I954" s="121"/>
      <c r="J954" s="121"/>
      <c r="K954" s="121"/>
      <c r="L954" s="121"/>
      <c r="M954" s="121"/>
      <c r="N954" s="121"/>
      <c r="O954" s="121"/>
      <c r="P954" s="121"/>
      <c r="Q954" s="121"/>
      <c r="R954" s="121"/>
      <c r="S954" s="121"/>
      <c r="T954" s="121"/>
      <c r="U954" s="121"/>
      <c r="V954" s="121"/>
      <c r="W954" s="121"/>
      <c r="X954" s="121"/>
      <c r="Y954" s="121"/>
      <c r="Z954" s="121"/>
      <c r="AA954" s="121"/>
      <c r="AB954" s="121"/>
    </row>
    <row r="955" spans="2:29" ht="13.5" customHeight="1">
      <c r="B955" s="96" t="str">
        <f>CONCATENATE("- Evento: ",INFO!$B$22)</f>
        <v>- Evento: PARTICIPAR DA OPERAÇÃO HORUS.</v>
      </c>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c r="AA955" s="121"/>
      <c r="AB955" s="121"/>
    </row>
    <row r="956" spans="2:29" ht="13.5" customHeight="1">
      <c r="B956" s="98" t="str">
        <f>CONCATENATE("- Documento de Solicitação: ",INFO!$B$24)</f>
        <v>- Documento de Solicitação: TESTE AZUL</v>
      </c>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c r="AA956" s="121"/>
      <c r="AB956" s="121"/>
    </row>
    <row r="957" spans="2:29" ht="13.5" customHeight="1">
      <c r="B957" s="98" t="str">
        <f>CONCATENATE("- Local: ",INFO!$C$18)</f>
        <v>- Local: GUAIRA - PR</v>
      </c>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c r="AA957" s="121"/>
      <c r="AB957" s="121"/>
    </row>
    <row r="958" spans="2:29" ht="13.5" customHeight="1">
      <c r="B958" s="98" t="str">
        <f>CONCATENATE("- Periodo: ",INFO!$C$10," a ",INFO!$C$19)</f>
        <v xml:space="preserve">- Periodo: 22/7/2025  a 23/8/2025 </v>
      </c>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c r="AA958" s="121"/>
      <c r="AB958" s="121"/>
    </row>
    <row r="959" spans="2:29" ht="13.5" customHeight="1">
      <c r="B959" s="98" t="str">
        <f>CONCATENATE("- Nr Dias: ",INFO!$C$20)</f>
        <v>- Nr Dias: 33</v>
      </c>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c r="AA959" s="121"/>
      <c r="AB959" s="121"/>
    </row>
    <row r="960" spans="2:29" ht="13.5" customHeight="1">
      <c r="B960" s="98" t="e">
        <f>CONCATENATE("- Valor Estimado: R$ ",INDEX(QSGR!$J$16:$J$11170,AC953))</f>
        <v>#N/A</v>
      </c>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c r="AA960" s="121"/>
      <c r="AB960" s="121"/>
    </row>
    <row r="961" spans="2:29" ht="13.5" customHeight="1">
      <c r="B961" s="100"/>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c r="AA961" s="121"/>
      <c r="AB961" s="121"/>
    </row>
    <row r="962" spans="2:29" ht="13.5" customHeight="1">
      <c r="B962" s="98" t="s">
        <v>55</v>
      </c>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c r="AA962" s="121"/>
      <c r="AB962" s="121"/>
      <c r="AC962" s="37">
        <f>AC953+1</f>
        <v>107</v>
      </c>
    </row>
    <row r="963" spans="2:29" ht="13.5" customHeight="1">
      <c r="B963" s="99">
        <f>INDEX(QSGR!$B$16:$B$1570,AC962)</f>
        <v>0</v>
      </c>
      <c r="C963" s="121"/>
      <c r="D963" s="121"/>
      <c r="E963" s="97">
        <f>INDEX(QSGR!$D$16:$D$11170,AC962)</f>
        <v>0</v>
      </c>
      <c r="F963" s="121"/>
      <c r="G963" s="121"/>
      <c r="H963" s="121"/>
      <c r="I963" s="121"/>
      <c r="J963" s="121"/>
      <c r="K963" s="121"/>
      <c r="L963" s="121"/>
      <c r="M963" s="121"/>
      <c r="N963" s="121"/>
      <c r="O963" s="121"/>
      <c r="P963" s="121"/>
      <c r="Q963" s="121"/>
      <c r="R963" s="121"/>
      <c r="S963" s="121"/>
      <c r="T963" s="121"/>
      <c r="U963" s="121"/>
      <c r="V963" s="121"/>
      <c r="W963" s="121"/>
      <c r="X963" s="121"/>
      <c r="Y963" s="121"/>
      <c r="Z963" s="121"/>
      <c r="AA963" s="121"/>
      <c r="AB963" s="121"/>
    </row>
    <row r="964" spans="2:29" ht="13.5" customHeight="1">
      <c r="B964" s="96" t="str">
        <f>CONCATENATE("- Evento: ",INFO!$B$22)</f>
        <v>- Evento: PARTICIPAR DA OPERAÇÃO HORUS.</v>
      </c>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c r="AA964" s="121"/>
      <c r="AB964" s="121"/>
    </row>
    <row r="965" spans="2:29" ht="13.5" customHeight="1">
      <c r="B965" s="98" t="str">
        <f>CONCATENATE("- Documento de Solicitação: ",INFO!$B$24)</f>
        <v>- Documento de Solicitação: TESTE AZUL</v>
      </c>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c r="AA965" s="121"/>
      <c r="AB965" s="121"/>
    </row>
    <row r="966" spans="2:29" ht="13.5" customHeight="1">
      <c r="B966" s="98" t="str">
        <f>CONCATENATE("- Local: ",INFO!$C$18)</f>
        <v>- Local: GUAIRA - PR</v>
      </c>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c r="AA966" s="121"/>
      <c r="AB966" s="121"/>
    </row>
    <row r="967" spans="2:29" ht="13.5" customHeight="1">
      <c r="B967" s="98" t="str">
        <f>CONCATENATE("- Periodo: ",INFO!$C$10," a ",INFO!$C$19)</f>
        <v xml:space="preserve">- Periodo: 22/7/2025  a 23/8/2025 </v>
      </c>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c r="AA967" s="121"/>
      <c r="AB967" s="121"/>
    </row>
    <row r="968" spans="2:29" ht="13.5" customHeight="1">
      <c r="B968" s="98" t="str">
        <f>CONCATENATE("- Nr Dias: ",INFO!$C$20)</f>
        <v>- Nr Dias: 33</v>
      </c>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c r="AA968" s="121"/>
      <c r="AB968" s="121"/>
    </row>
    <row r="969" spans="2:29" ht="13.5" customHeight="1">
      <c r="B969" s="98" t="e">
        <f>CONCATENATE("- Valor Estimado: R$ ",INDEX(QSGR!$J$16:$J$11170,AC962))</f>
        <v>#N/A</v>
      </c>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c r="AA969" s="121"/>
      <c r="AB969" s="121"/>
    </row>
    <row r="970" spans="2:29" ht="13.5" customHeight="1">
      <c r="B970" s="100"/>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c r="AA970" s="121"/>
      <c r="AB970" s="121"/>
    </row>
    <row r="971" spans="2:29" ht="13.5" customHeight="1">
      <c r="B971" s="98" t="s">
        <v>55</v>
      </c>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c r="AA971" s="121"/>
      <c r="AB971" s="121"/>
      <c r="AC971" s="37">
        <f>AC962+1</f>
        <v>108</v>
      </c>
    </row>
    <row r="972" spans="2:29" ht="13.5" customHeight="1">
      <c r="B972" s="99">
        <f>INDEX(QSGR!$B$16:$B$1570,AC971)</f>
        <v>0</v>
      </c>
      <c r="C972" s="121"/>
      <c r="D972" s="121"/>
      <c r="E972" s="97">
        <f>INDEX(QSGR!$D$16:$D$11170,AC971)</f>
        <v>0</v>
      </c>
      <c r="F972" s="121"/>
      <c r="G972" s="121"/>
      <c r="H972" s="121"/>
      <c r="I972" s="121"/>
      <c r="J972" s="121"/>
      <c r="K972" s="121"/>
      <c r="L972" s="121"/>
      <c r="M972" s="121"/>
      <c r="N972" s="121"/>
      <c r="O972" s="121"/>
      <c r="P972" s="121"/>
      <c r="Q972" s="121"/>
      <c r="R972" s="121"/>
      <c r="S972" s="121"/>
      <c r="T972" s="121"/>
      <c r="U972" s="121"/>
      <c r="V972" s="121"/>
      <c r="W972" s="121"/>
      <c r="X972" s="121"/>
      <c r="Y972" s="121"/>
      <c r="Z972" s="121"/>
      <c r="AA972" s="121"/>
      <c r="AB972" s="121"/>
    </row>
    <row r="973" spans="2:29" ht="13.5" customHeight="1">
      <c r="B973" s="96" t="str">
        <f>CONCATENATE("- Evento: ",INFO!$B$22)</f>
        <v>- Evento: PARTICIPAR DA OPERAÇÃO HORUS.</v>
      </c>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c r="AA973" s="121"/>
      <c r="AB973" s="121"/>
    </row>
    <row r="974" spans="2:29" ht="13.5" customHeight="1">
      <c r="B974" s="98" t="str">
        <f>CONCATENATE("- Documento de Solicitação: ",INFO!$B$24)</f>
        <v>- Documento de Solicitação: TESTE AZUL</v>
      </c>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c r="AA974" s="121"/>
      <c r="AB974" s="121"/>
    </row>
    <row r="975" spans="2:29" ht="13.5" customHeight="1">
      <c r="B975" s="98" t="str">
        <f>CONCATENATE("- Local: ",INFO!$C$18)</f>
        <v>- Local: GUAIRA - PR</v>
      </c>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c r="AA975" s="121"/>
      <c r="AB975" s="121"/>
    </row>
    <row r="976" spans="2:29" ht="13.5" customHeight="1">
      <c r="B976" s="98" t="str">
        <f>CONCATENATE("- Periodo: ",INFO!$C$10," a ",INFO!$C$19)</f>
        <v xml:space="preserve">- Periodo: 22/7/2025  a 23/8/2025 </v>
      </c>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c r="AA976" s="121"/>
      <c r="AB976" s="121"/>
    </row>
    <row r="977" spans="2:29" ht="13.5" customHeight="1">
      <c r="B977" s="98" t="str">
        <f>CONCATENATE("- Nr Dias: ",INFO!$C$20)</f>
        <v>- Nr Dias: 33</v>
      </c>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c r="AA977" s="121"/>
      <c r="AB977" s="121"/>
    </row>
    <row r="978" spans="2:29" ht="13.5" customHeight="1">
      <c r="B978" s="98" t="e">
        <f>CONCATENATE("- Valor Estimado: R$ ",INDEX(QSGR!$J$16:$J$11170,AC971))</f>
        <v>#N/A</v>
      </c>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c r="AA978" s="121"/>
      <c r="AB978" s="121"/>
    </row>
    <row r="979" spans="2:29" ht="13.5" customHeight="1">
      <c r="B979" s="100"/>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c r="AA979" s="121"/>
      <c r="AB979" s="121"/>
    </row>
    <row r="980" spans="2:29" ht="13.5" customHeight="1">
      <c r="B980" s="98" t="s">
        <v>55</v>
      </c>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c r="AA980" s="121"/>
      <c r="AB980" s="121"/>
      <c r="AC980" s="37">
        <f>AC971+1</f>
        <v>109</v>
      </c>
    </row>
    <row r="981" spans="2:29" ht="13.5" customHeight="1">
      <c r="B981" s="99">
        <f>INDEX(QSGR!$B$16:$B$1570,AC980)</f>
        <v>0</v>
      </c>
      <c r="C981" s="121"/>
      <c r="D981" s="121"/>
      <c r="E981" s="97">
        <f>INDEX(QSGR!$D$16:$D$11170,AC980)</f>
        <v>0</v>
      </c>
      <c r="F981" s="121"/>
      <c r="G981" s="121"/>
      <c r="H981" s="121"/>
      <c r="I981" s="121"/>
      <c r="J981" s="121"/>
      <c r="K981" s="121"/>
      <c r="L981" s="121"/>
      <c r="M981" s="121"/>
      <c r="N981" s="121"/>
      <c r="O981" s="121"/>
      <c r="P981" s="121"/>
      <c r="Q981" s="121"/>
      <c r="R981" s="121"/>
      <c r="S981" s="121"/>
      <c r="T981" s="121"/>
      <c r="U981" s="121"/>
      <c r="V981" s="121"/>
      <c r="W981" s="121"/>
      <c r="X981" s="121"/>
      <c r="Y981" s="121"/>
      <c r="Z981" s="121"/>
      <c r="AA981" s="121"/>
      <c r="AB981" s="121"/>
    </row>
    <row r="982" spans="2:29" ht="13.5" customHeight="1">
      <c r="B982" s="96" t="str">
        <f>CONCATENATE("- Evento: ",INFO!$B$22)</f>
        <v>- Evento: PARTICIPAR DA OPERAÇÃO HORUS.</v>
      </c>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c r="AA982" s="121"/>
      <c r="AB982" s="121"/>
    </row>
    <row r="983" spans="2:29" ht="13.5" customHeight="1">
      <c r="B983" s="98" t="str">
        <f>CONCATENATE("- Documento de Solicitação: ",INFO!$B$24)</f>
        <v>- Documento de Solicitação: TESTE AZUL</v>
      </c>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c r="AA983" s="121"/>
      <c r="AB983" s="121"/>
    </row>
    <row r="984" spans="2:29" ht="13.5" customHeight="1">
      <c r="B984" s="98" t="str">
        <f>CONCATENATE("- Local: ",INFO!$C$18)</f>
        <v>- Local: GUAIRA - PR</v>
      </c>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c r="AA984" s="121"/>
      <c r="AB984" s="121"/>
    </row>
    <row r="985" spans="2:29" ht="13.5" customHeight="1">
      <c r="B985" s="98" t="str">
        <f>CONCATENATE("- Periodo: ",INFO!$C$10," a ",INFO!$C$19)</f>
        <v xml:space="preserve">- Periodo: 22/7/2025  a 23/8/2025 </v>
      </c>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c r="AA985" s="121"/>
      <c r="AB985" s="121"/>
    </row>
    <row r="986" spans="2:29" ht="13.5" customHeight="1">
      <c r="B986" s="98" t="str">
        <f>CONCATENATE("- Nr Dias: ",INFO!$C$20)</f>
        <v>- Nr Dias: 33</v>
      </c>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c r="AA986" s="121"/>
      <c r="AB986" s="121"/>
    </row>
    <row r="987" spans="2:29" ht="13.5" customHeight="1">
      <c r="B987" s="98" t="e">
        <f>CONCATENATE("- Valor Estimado: R$ ",INDEX(QSGR!$J$16:$J$11170,AC980))</f>
        <v>#N/A</v>
      </c>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c r="AA987" s="121"/>
      <c r="AB987" s="121"/>
    </row>
    <row r="988" spans="2:29" ht="13.5" customHeight="1">
      <c r="B988" s="100"/>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c r="AA988" s="121"/>
      <c r="AB988" s="121"/>
    </row>
    <row r="989" spans="2:29" ht="13.5" customHeight="1">
      <c r="B989" s="98" t="s">
        <v>55</v>
      </c>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c r="AA989" s="121"/>
      <c r="AB989" s="121"/>
      <c r="AC989" s="37">
        <f>AC980+1</f>
        <v>110</v>
      </c>
    </row>
    <row r="990" spans="2:29" ht="13.5" customHeight="1">
      <c r="B990" s="99">
        <f>INDEX(QSGR!$B$16:$B$1570,AC989)</f>
        <v>0</v>
      </c>
      <c r="C990" s="121"/>
      <c r="D990" s="121"/>
      <c r="E990" s="97">
        <f>INDEX(QSGR!$D$16:$D$11170,AC989)</f>
        <v>0</v>
      </c>
      <c r="F990" s="121"/>
      <c r="G990" s="121"/>
      <c r="H990" s="121"/>
      <c r="I990" s="121"/>
      <c r="J990" s="121"/>
      <c r="K990" s="121"/>
      <c r="L990" s="121"/>
      <c r="M990" s="121"/>
      <c r="N990" s="121"/>
      <c r="O990" s="121"/>
      <c r="P990" s="121"/>
      <c r="Q990" s="121"/>
      <c r="R990" s="121"/>
      <c r="S990" s="121"/>
      <c r="T990" s="121"/>
      <c r="U990" s="121"/>
      <c r="V990" s="121"/>
      <c r="W990" s="121"/>
      <c r="X990" s="121"/>
      <c r="Y990" s="121"/>
      <c r="Z990" s="121"/>
      <c r="AA990" s="121"/>
      <c r="AB990" s="121"/>
    </row>
    <row r="991" spans="2:29" ht="13.5" customHeight="1">
      <c r="B991" s="96" t="str">
        <f>CONCATENATE("- Evento: ",INFO!$B$22)</f>
        <v>- Evento: PARTICIPAR DA OPERAÇÃO HORUS.</v>
      </c>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c r="AA991" s="121"/>
      <c r="AB991" s="121"/>
    </row>
    <row r="992" spans="2:29" ht="13.5" customHeight="1">
      <c r="B992" s="98" t="str">
        <f>CONCATENATE("- Documento de Solicitação: ",INFO!$B$24)</f>
        <v>- Documento de Solicitação: TESTE AZUL</v>
      </c>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c r="AA992" s="121"/>
      <c r="AB992" s="121"/>
    </row>
    <row r="993" spans="2:29" ht="13.5" customHeight="1">
      <c r="B993" s="98" t="str">
        <f>CONCATENATE("- Local: ",INFO!$C$18)</f>
        <v>- Local: GUAIRA - PR</v>
      </c>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c r="AA993" s="121"/>
      <c r="AB993" s="121"/>
    </row>
    <row r="994" spans="2:29" ht="13.5" customHeight="1">
      <c r="B994" s="98" t="str">
        <f>CONCATENATE("- Periodo: ",INFO!$C$10," a ",INFO!$C$19)</f>
        <v xml:space="preserve">- Periodo: 22/7/2025  a 23/8/2025 </v>
      </c>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c r="AA994" s="121"/>
      <c r="AB994" s="121"/>
    </row>
    <row r="995" spans="2:29" ht="13.5" customHeight="1">
      <c r="B995" s="98" t="str">
        <f>CONCATENATE("- Nr Dias: ",INFO!$C$20)</f>
        <v>- Nr Dias: 33</v>
      </c>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c r="AA995" s="121"/>
      <c r="AB995" s="121"/>
    </row>
    <row r="996" spans="2:29" ht="13.5" customHeight="1">
      <c r="B996" s="98" t="e">
        <f>CONCATENATE("- Valor Estimado: R$ ",INDEX(QSGR!$J$16:$J$11170,AC989))</f>
        <v>#N/A</v>
      </c>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c r="AA996" s="121"/>
      <c r="AB996" s="121"/>
    </row>
    <row r="997" spans="2:29" ht="13.5" customHeight="1">
      <c r="B997" s="100"/>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c r="AA997" s="121"/>
      <c r="AB997" s="121"/>
    </row>
    <row r="998" spans="2:29" ht="13.5" customHeight="1">
      <c r="B998" s="98" t="s">
        <v>55</v>
      </c>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c r="AA998" s="121"/>
      <c r="AB998" s="121"/>
      <c r="AC998" s="37">
        <f>AC989+1</f>
        <v>111</v>
      </c>
    </row>
    <row r="999" spans="2:29" ht="13.5" customHeight="1">
      <c r="B999" s="99">
        <f>INDEX(QSGR!$B$16:$B$1570,AC998)</f>
        <v>0</v>
      </c>
      <c r="C999" s="121"/>
      <c r="D999" s="121"/>
      <c r="E999" s="97">
        <f>INDEX(QSGR!$D$16:$D$11170,AC998)</f>
        <v>0</v>
      </c>
      <c r="F999" s="121"/>
      <c r="G999" s="121"/>
      <c r="H999" s="121"/>
      <c r="I999" s="121"/>
      <c r="J999" s="121"/>
      <c r="K999" s="121"/>
      <c r="L999" s="121"/>
      <c r="M999" s="121"/>
      <c r="N999" s="121"/>
      <c r="O999" s="121"/>
      <c r="P999" s="121"/>
      <c r="Q999" s="121"/>
      <c r="R999" s="121"/>
      <c r="S999" s="121"/>
      <c r="T999" s="121"/>
      <c r="U999" s="121"/>
      <c r="V999" s="121"/>
      <c r="W999" s="121"/>
      <c r="X999" s="121"/>
      <c r="Y999" s="121"/>
      <c r="Z999" s="121"/>
      <c r="AA999" s="121"/>
      <c r="AB999" s="121"/>
    </row>
    <row r="1000" spans="2:29" ht="13.5" customHeight="1">
      <c r="B1000" s="96" t="str">
        <f>CONCATENATE("- Evento: ",INFO!$B$22)</f>
        <v>- Evento: PARTICIPAR DA OPERAÇÃO HORUS.</v>
      </c>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c r="AA1000" s="121"/>
      <c r="AB1000" s="121"/>
    </row>
    <row r="1001" spans="2:29" ht="13.5" customHeight="1">
      <c r="B1001" s="98" t="str">
        <f>CONCATENATE("- Documento de Solicitação: ",INFO!$B$24)</f>
        <v>- Documento de Solicitação: TESTE AZUL</v>
      </c>
      <c r="C1001" s="121"/>
      <c r="D1001" s="121"/>
      <c r="E1001" s="121"/>
      <c r="F1001" s="121"/>
      <c r="G1001" s="121"/>
      <c r="H1001" s="121"/>
      <c r="I1001" s="121"/>
      <c r="J1001" s="121"/>
      <c r="K1001" s="121"/>
      <c r="L1001" s="121"/>
      <c r="M1001" s="121"/>
      <c r="N1001" s="121"/>
      <c r="O1001" s="121"/>
      <c r="P1001" s="121"/>
      <c r="Q1001" s="121"/>
      <c r="R1001" s="121"/>
      <c r="S1001" s="121"/>
      <c r="T1001" s="121"/>
      <c r="U1001" s="121"/>
      <c r="V1001" s="121"/>
      <c r="W1001" s="121"/>
      <c r="X1001" s="121"/>
      <c r="Y1001" s="121"/>
      <c r="Z1001" s="121"/>
      <c r="AA1001" s="121"/>
      <c r="AB1001" s="121"/>
    </row>
    <row r="1002" spans="2:29" ht="13.5" customHeight="1">
      <c r="B1002" s="98" t="str">
        <f>CONCATENATE("- Local: ",INFO!$C$18)</f>
        <v>- Local: GUAIRA - PR</v>
      </c>
      <c r="C1002" s="121"/>
      <c r="D1002" s="121"/>
      <c r="E1002" s="121"/>
      <c r="F1002" s="121"/>
      <c r="G1002" s="121"/>
      <c r="H1002" s="121"/>
      <c r="I1002" s="121"/>
      <c r="J1002" s="121"/>
      <c r="K1002" s="121"/>
      <c r="L1002" s="121"/>
      <c r="M1002" s="121"/>
      <c r="N1002" s="121"/>
      <c r="O1002" s="121"/>
      <c r="P1002" s="121"/>
      <c r="Q1002" s="121"/>
      <c r="R1002" s="121"/>
      <c r="S1002" s="121"/>
      <c r="T1002" s="121"/>
      <c r="U1002" s="121"/>
      <c r="V1002" s="121"/>
      <c r="W1002" s="121"/>
      <c r="X1002" s="121"/>
      <c r="Y1002" s="121"/>
      <c r="Z1002" s="121"/>
      <c r="AA1002" s="121"/>
      <c r="AB1002" s="121"/>
    </row>
    <row r="1003" spans="2:29" ht="13.5" customHeight="1">
      <c r="B1003" s="98" t="str">
        <f>CONCATENATE("- Periodo: ",INFO!$C$10," a ",INFO!$C$19)</f>
        <v xml:space="preserve">- Periodo: 22/7/2025  a 23/8/2025 </v>
      </c>
      <c r="C1003" s="121"/>
      <c r="D1003" s="121"/>
      <c r="E1003" s="121"/>
      <c r="F1003" s="121"/>
      <c r="G1003" s="121"/>
      <c r="H1003" s="121"/>
      <c r="I1003" s="121"/>
      <c r="J1003" s="121"/>
      <c r="K1003" s="121"/>
      <c r="L1003" s="121"/>
      <c r="M1003" s="121"/>
      <c r="N1003" s="121"/>
      <c r="O1003" s="121"/>
      <c r="P1003" s="121"/>
      <c r="Q1003" s="121"/>
      <c r="R1003" s="121"/>
      <c r="S1003" s="121"/>
      <c r="T1003" s="121"/>
      <c r="U1003" s="121"/>
      <c r="V1003" s="121"/>
      <c r="W1003" s="121"/>
      <c r="X1003" s="121"/>
      <c r="Y1003" s="121"/>
      <c r="Z1003" s="121"/>
      <c r="AA1003" s="121"/>
      <c r="AB1003" s="121"/>
    </row>
    <row r="1004" spans="2:29" ht="13.5" customHeight="1">
      <c r="B1004" s="98" t="str">
        <f>CONCATENATE("- Nr Dias: ",INFO!$C$20)</f>
        <v>- Nr Dias: 33</v>
      </c>
      <c r="C1004" s="121"/>
      <c r="D1004" s="121"/>
      <c r="E1004" s="121"/>
      <c r="F1004" s="121"/>
      <c r="G1004" s="121"/>
      <c r="H1004" s="121"/>
      <c r="I1004" s="121"/>
      <c r="J1004" s="121"/>
      <c r="K1004" s="121"/>
      <c r="L1004" s="121"/>
      <c r="M1004" s="121"/>
      <c r="N1004" s="121"/>
      <c r="O1004" s="121"/>
      <c r="P1004" s="121"/>
      <c r="Q1004" s="121"/>
      <c r="R1004" s="121"/>
      <c r="S1004" s="121"/>
      <c r="T1004" s="121"/>
      <c r="U1004" s="121"/>
      <c r="V1004" s="121"/>
      <c r="W1004" s="121"/>
      <c r="X1004" s="121"/>
      <c r="Y1004" s="121"/>
      <c r="Z1004" s="121"/>
      <c r="AA1004" s="121"/>
      <c r="AB1004" s="121"/>
    </row>
    <row r="1005" spans="2:29" ht="13.5" customHeight="1">
      <c r="B1005" s="98" t="e">
        <f>CONCATENATE("- Valor Estimado: R$ ",INDEX(QSGR!$J$16:$J$11170,AC998))</f>
        <v>#N/A</v>
      </c>
      <c r="C1005" s="121"/>
      <c r="D1005" s="121"/>
      <c r="E1005" s="121"/>
      <c r="F1005" s="121"/>
      <c r="G1005" s="121"/>
      <c r="H1005" s="121"/>
      <c r="I1005" s="121"/>
      <c r="J1005" s="121"/>
      <c r="K1005" s="121"/>
      <c r="L1005" s="121"/>
      <c r="M1005" s="121"/>
      <c r="N1005" s="121"/>
      <c r="O1005" s="121"/>
      <c r="P1005" s="121"/>
      <c r="Q1005" s="121"/>
      <c r="R1005" s="121"/>
      <c r="S1005" s="121"/>
      <c r="T1005" s="121"/>
      <c r="U1005" s="121"/>
      <c r="V1005" s="121"/>
      <c r="W1005" s="121"/>
      <c r="X1005" s="121"/>
      <c r="Y1005" s="121"/>
      <c r="Z1005" s="121"/>
      <c r="AA1005" s="121"/>
      <c r="AB1005" s="121"/>
    </row>
    <row r="1006" spans="2:29" ht="13.5" customHeight="1">
      <c r="B1006" s="100"/>
      <c r="C1006" s="121"/>
      <c r="D1006" s="121"/>
      <c r="E1006" s="121"/>
      <c r="F1006" s="121"/>
      <c r="G1006" s="121"/>
      <c r="H1006" s="121"/>
      <c r="I1006" s="121"/>
      <c r="J1006" s="121"/>
      <c r="K1006" s="121"/>
      <c r="L1006" s="121"/>
      <c r="M1006" s="121"/>
      <c r="N1006" s="121"/>
      <c r="O1006" s="121"/>
      <c r="P1006" s="121"/>
      <c r="Q1006" s="121"/>
      <c r="R1006" s="121"/>
      <c r="S1006" s="121"/>
      <c r="T1006" s="121"/>
      <c r="U1006" s="121"/>
      <c r="V1006" s="121"/>
      <c r="W1006" s="121"/>
      <c r="X1006" s="121"/>
      <c r="Y1006" s="121"/>
      <c r="Z1006" s="121"/>
      <c r="AA1006" s="121"/>
      <c r="AB1006" s="121"/>
    </row>
    <row r="1007" spans="2:29" ht="13.5" customHeight="1">
      <c r="B1007" s="98" t="s">
        <v>55</v>
      </c>
      <c r="C1007" s="121"/>
      <c r="D1007" s="121"/>
      <c r="E1007" s="121"/>
      <c r="F1007" s="121"/>
      <c r="G1007" s="121"/>
      <c r="H1007" s="121"/>
      <c r="I1007" s="121"/>
      <c r="J1007" s="121"/>
      <c r="K1007" s="121"/>
      <c r="L1007" s="121"/>
      <c r="M1007" s="121"/>
      <c r="N1007" s="121"/>
      <c r="O1007" s="121"/>
      <c r="P1007" s="121"/>
      <c r="Q1007" s="121"/>
      <c r="R1007" s="121"/>
      <c r="S1007" s="121"/>
      <c r="T1007" s="121"/>
      <c r="U1007" s="121"/>
      <c r="V1007" s="121"/>
      <c r="W1007" s="121"/>
      <c r="X1007" s="121"/>
      <c r="Y1007" s="121"/>
      <c r="Z1007" s="121"/>
      <c r="AA1007" s="121"/>
      <c r="AB1007" s="121"/>
      <c r="AC1007" s="37">
        <f>AC998+1</f>
        <v>112</v>
      </c>
    </row>
    <row r="1008" spans="2:29" ht="13.5" customHeight="1">
      <c r="B1008" s="99">
        <f>INDEX(QSGR!$B$16:$B$1570,AC1007)</f>
        <v>0</v>
      </c>
      <c r="C1008" s="121"/>
      <c r="D1008" s="121"/>
      <c r="E1008" s="97">
        <f>INDEX(QSGR!$D$16:$D$11170,AC1007)</f>
        <v>0</v>
      </c>
      <c r="F1008" s="121"/>
      <c r="G1008" s="121"/>
      <c r="H1008" s="121"/>
      <c r="I1008" s="121"/>
      <c r="J1008" s="121"/>
      <c r="K1008" s="121"/>
      <c r="L1008" s="121"/>
      <c r="M1008" s="121"/>
      <c r="N1008" s="121"/>
      <c r="O1008" s="121"/>
      <c r="P1008" s="121"/>
      <c r="Q1008" s="121"/>
      <c r="R1008" s="121"/>
      <c r="S1008" s="121"/>
      <c r="T1008" s="121"/>
      <c r="U1008" s="121"/>
      <c r="V1008" s="121"/>
      <c r="W1008" s="121"/>
      <c r="X1008" s="121"/>
      <c r="Y1008" s="121"/>
      <c r="Z1008" s="121"/>
      <c r="AA1008" s="121"/>
      <c r="AB1008" s="121"/>
    </row>
    <row r="1009" spans="2:29" ht="13.5" customHeight="1">
      <c r="B1009" s="96" t="str">
        <f>CONCATENATE("- Evento: ",INFO!$B$22)</f>
        <v>- Evento: PARTICIPAR DA OPERAÇÃO HORUS.</v>
      </c>
      <c r="C1009" s="121"/>
      <c r="D1009" s="121"/>
      <c r="E1009" s="121"/>
      <c r="F1009" s="121"/>
      <c r="G1009" s="121"/>
      <c r="H1009" s="121"/>
      <c r="I1009" s="121"/>
      <c r="J1009" s="121"/>
      <c r="K1009" s="121"/>
      <c r="L1009" s="121"/>
      <c r="M1009" s="121"/>
      <c r="N1009" s="121"/>
      <c r="O1009" s="121"/>
      <c r="P1009" s="121"/>
      <c r="Q1009" s="121"/>
      <c r="R1009" s="121"/>
      <c r="S1009" s="121"/>
      <c r="T1009" s="121"/>
      <c r="U1009" s="121"/>
      <c r="V1009" s="121"/>
      <c r="W1009" s="121"/>
      <c r="X1009" s="121"/>
      <c r="Y1009" s="121"/>
      <c r="Z1009" s="121"/>
      <c r="AA1009" s="121"/>
      <c r="AB1009" s="121"/>
    </row>
    <row r="1010" spans="2:29" ht="13.5" customHeight="1">
      <c r="B1010" s="98" t="str">
        <f>CONCATENATE("- Documento de Solicitação: ",INFO!$B$24)</f>
        <v>- Documento de Solicitação: TESTE AZUL</v>
      </c>
      <c r="C1010" s="121"/>
      <c r="D1010" s="121"/>
      <c r="E1010" s="121"/>
      <c r="F1010" s="121"/>
      <c r="G1010" s="121"/>
      <c r="H1010" s="121"/>
      <c r="I1010" s="121"/>
      <c r="J1010" s="121"/>
      <c r="K1010" s="121"/>
      <c r="L1010" s="121"/>
      <c r="M1010" s="121"/>
      <c r="N1010" s="121"/>
      <c r="O1010" s="121"/>
      <c r="P1010" s="121"/>
      <c r="Q1010" s="121"/>
      <c r="R1010" s="121"/>
      <c r="S1010" s="121"/>
      <c r="T1010" s="121"/>
      <c r="U1010" s="121"/>
      <c r="V1010" s="121"/>
      <c r="W1010" s="121"/>
      <c r="X1010" s="121"/>
      <c r="Y1010" s="121"/>
      <c r="Z1010" s="121"/>
      <c r="AA1010" s="121"/>
      <c r="AB1010" s="121"/>
    </row>
    <row r="1011" spans="2:29" ht="13.5" customHeight="1">
      <c r="B1011" s="98" t="str">
        <f>CONCATENATE("- Local: ",INFO!$C$18)</f>
        <v>- Local: GUAIRA - PR</v>
      </c>
      <c r="C1011" s="121"/>
      <c r="D1011" s="121"/>
      <c r="E1011" s="121"/>
      <c r="F1011" s="121"/>
      <c r="G1011" s="121"/>
      <c r="H1011" s="121"/>
      <c r="I1011" s="121"/>
      <c r="J1011" s="121"/>
      <c r="K1011" s="121"/>
      <c r="L1011" s="121"/>
      <c r="M1011" s="121"/>
      <c r="N1011" s="121"/>
      <c r="O1011" s="121"/>
      <c r="P1011" s="121"/>
      <c r="Q1011" s="121"/>
      <c r="R1011" s="121"/>
      <c r="S1011" s="121"/>
      <c r="T1011" s="121"/>
      <c r="U1011" s="121"/>
      <c r="V1011" s="121"/>
      <c r="W1011" s="121"/>
      <c r="X1011" s="121"/>
      <c r="Y1011" s="121"/>
      <c r="Z1011" s="121"/>
      <c r="AA1011" s="121"/>
      <c r="AB1011" s="121"/>
    </row>
    <row r="1012" spans="2:29" ht="13.5" customHeight="1">
      <c r="B1012" s="98" t="str">
        <f>CONCATENATE("- Periodo: ",INFO!$C$10," a ",INFO!$C$19)</f>
        <v xml:space="preserve">- Periodo: 22/7/2025  a 23/8/2025 </v>
      </c>
      <c r="C1012" s="121"/>
      <c r="D1012" s="121"/>
      <c r="E1012" s="121"/>
      <c r="F1012" s="121"/>
      <c r="G1012" s="121"/>
      <c r="H1012" s="121"/>
      <c r="I1012" s="121"/>
      <c r="J1012" s="121"/>
      <c r="K1012" s="121"/>
      <c r="L1012" s="121"/>
      <c r="M1012" s="121"/>
      <c r="N1012" s="121"/>
      <c r="O1012" s="121"/>
      <c r="P1012" s="121"/>
      <c r="Q1012" s="121"/>
      <c r="R1012" s="121"/>
      <c r="S1012" s="121"/>
      <c r="T1012" s="121"/>
      <c r="U1012" s="121"/>
      <c r="V1012" s="121"/>
      <c r="W1012" s="121"/>
      <c r="X1012" s="121"/>
      <c r="Y1012" s="121"/>
      <c r="Z1012" s="121"/>
      <c r="AA1012" s="121"/>
      <c r="AB1012" s="121"/>
    </row>
    <row r="1013" spans="2:29" ht="13.5" customHeight="1">
      <c r="B1013" s="98" t="str">
        <f>CONCATENATE("- Nr Dias: ",INFO!$C$20)</f>
        <v>- Nr Dias: 33</v>
      </c>
      <c r="C1013" s="121"/>
      <c r="D1013" s="121"/>
      <c r="E1013" s="121"/>
      <c r="F1013" s="121"/>
      <c r="G1013" s="121"/>
      <c r="H1013" s="121"/>
      <c r="I1013" s="121"/>
      <c r="J1013" s="121"/>
      <c r="K1013" s="121"/>
      <c r="L1013" s="121"/>
      <c r="M1013" s="121"/>
      <c r="N1013" s="121"/>
      <c r="O1013" s="121"/>
      <c r="P1013" s="121"/>
      <c r="Q1013" s="121"/>
      <c r="R1013" s="121"/>
      <c r="S1013" s="121"/>
      <c r="T1013" s="121"/>
      <c r="U1013" s="121"/>
      <c r="V1013" s="121"/>
      <c r="W1013" s="121"/>
      <c r="X1013" s="121"/>
      <c r="Y1013" s="121"/>
      <c r="Z1013" s="121"/>
      <c r="AA1013" s="121"/>
      <c r="AB1013" s="121"/>
    </row>
    <row r="1014" spans="2:29" ht="13.5" customHeight="1">
      <c r="B1014" s="98" t="e">
        <f>CONCATENATE("- Valor Estimado: R$ ",INDEX(QSGR!$J$16:$J$11170,AC1007))</f>
        <v>#N/A</v>
      </c>
      <c r="C1014" s="121"/>
      <c r="D1014" s="121"/>
      <c r="E1014" s="121"/>
      <c r="F1014" s="121"/>
      <c r="G1014" s="121"/>
      <c r="H1014" s="121"/>
      <c r="I1014" s="121"/>
      <c r="J1014" s="121"/>
      <c r="K1014" s="121"/>
      <c r="L1014" s="121"/>
      <c r="M1014" s="121"/>
      <c r="N1014" s="121"/>
      <c r="O1014" s="121"/>
      <c r="P1014" s="121"/>
      <c r="Q1014" s="121"/>
      <c r="R1014" s="121"/>
      <c r="S1014" s="121"/>
      <c r="T1014" s="121"/>
      <c r="U1014" s="121"/>
      <c r="V1014" s="121"/>
      <c r="W1014" s="121"/>
      <c r="X1014" s="121"/>
      <c r="Y1014" s="121"/>
      <c r="Z1014" s="121"/>
      <c r="AA1014" s="121"/>
      <c r="AB1014" s="121"/>
    </row>
    <row r="1015" spans="2:29" ht="13.5" customHeight="1">
      <c r="B1015" s="100"/>
      <c r="C1015" s="121"/>
      <c r="D1015" s="121"/>
      <c r="E1015" s="121"/>
      <c r="F1015" s="121"/>
      <c r="G1015" s="121"/>
      <c r="H1015" s="121"/>
      <c r="I1015" s="121"/>
      <c r="J1015" s="121"/>
      <c r="K1015" s="121"/>
      <c r="L1015" s="121"/>
      <c r="M1015" s="121"/>
      <c r="N1015" s="121"/>
      <c r="O1015" s="121"/>
      <c r="P1015" s="121"/>
      <c r="Q1015" s="121"/>
      <c r="R1015" s="121"/>
      <c r="S1015" s="121"/>
      <c r="T1015" s="121"/>
      <c r="U1015" s="121"/>
      <c r="V1015" s="121"/>
      <c r="W1015" s="121"/>
      <c r="X1015" s="121"/>
      <c r="Y1015" s="121"/>
      <c r="Z1015" s="121"/>
      <c r="AA1015" s="121"/>
      <c r="AB1015" s="121"/>
    </row>
    <row r="1016" spans="2:29" ht="13.5" customHeight="1">
      <c r="B1016" s="98" t="s">
        <v>55</v>
      </c>
      <c r="C1016" s="121"/>
      <c r="D1016" s="121"/>
      <c r="E1016" s="121"/>
      <c r="F1016" s="121"/>
      <c r="G1016" s="121"/>
      <c r="H1016" s="121"/>
      <c r="I1016" s="121"/>
      <c r="J1016" s="121"/>
      <c r="K1016" s="121"/>
      <c r="L1016" s="121"/>
      <c r="M1016" s="121"/>
      <c r="N1016" s="121"/>
      <c r="O1016" s="121"/>
      <c r="P1016" s="121"/>
      <c r="Q1016" s="121"/>
      <c r="R1016" s="121"/>
      <c r="S1016" s="121"/>
      <c r="T1016" s="121"/>
      <c r="U1016" s="121"/>
      <c r="V1016" s="121"/>
      <c r="W1016" s="121"/>
      <c r="X1016" s="121"/>
      <c r="Y1016" s="121"/>
      <c r="Z1016" s="121"/>
      <c r="AA1016" s="121"/>
      <c r="AB1016" s="121"/>
      <c r="AC1016" s="37">
        <f>AC1007+1</f>
        <v>113</v>
      </c>
    </row>
    <row r="1017" spans="2:29" ht="13.5" customHeight="1">
      <c r="B1017" s="99">
        <f>INDEX(QSGR!$B$16:$B$1570,AC1016)</f>
        <v>0</v>
      </c>
      <c r="C1017" s="121"/>
      <c r="D1017" s="121"/>
      <c r="E1017" s="97">
        <f>INDEX(QSGR!$D$16:$D$11170,AC1016)</f>
        <v>0</v>
      </c>
      <c r="F1017" s="121"/>
      <c r="G1017" s="121"/>
      <c r="H1017" s="121"/>
      <c r="I1017" s="121"/>
      <c r="J1017" s="121"/>
      <c r="K1017" s="121"/>
      <c r="L1017" s="121"/>
      <c r="M1017" s="121"/>
      <c r="N1017" s="121"/>
      <c r="O1017" s="121"/>
      <c r="P1017" s="121"/>
      <c r="Q1017" s="121"/>
      <c r="R1017" s="121"/>
      <c r="S1017" s="121"/>
      <c r="T1017" s="121"/>
      <c r="U1017" s="121"/>
      <c r="V1017" s="121"/>
      <c r="W1017" s="121"/>
      <c r="X1017" s="121"/>
      <c r="Y1017" s="121"/>
      <c r="Z1017" s="121"/>
      <c r="AA1017" s="121"/>
      <c r="AB1017" s="121"/>
    </row>
    <row r="1018" spans="2:29" ht="13.5" customHeight="1">
      <c r="B1018" s="96" t="str">
        <f>CONCATENATE("- Evento: ",INFO!$B$22)</f>
        <v>- Evento: PARTICIPAR DA OPERAÇÃO HORUS.</v>
      </c>
      <c r="C1018" s="121"/>
      <c r="D1018" s="121"/>
      <c r="E1018" s="121"/>
      <c r="F1018" s="121"/>
      <c r="G1018" s="121"/>
      <c r="H1018" s="121"/>
      <c r="I1018" s="121"/>
      <c r="J1018" s="121"/>
      <c r="K1018" s="121"/>
      <c r="L1018" s="121"/>
      <c r="M1018" s="121"/>
      <c r="N1018" s="121"/>
      <c r="O1018" s="121"/>
      <c r="P1018" s="121"/>
      <c r="Q1018" s="121"/>
      <c r="R1018" s="121"/>
      <c r="S1018" s="121"/>
      <c r="T1018" s="121"/>
      <c r="U1018" s="121"/>
      <c r="V1018" s="121"/>
      <c r="W1018" s="121"/>
      <c r="X1018" s="121"/>
      <c r="Y1018" s="121"/>
      <c r="Z1018" s="121"/>
      <c r="AA1018" s="121"/>
      <c r="AB1018" s="121"/>
    </row>
    <row r="1019" spans="2:29" ht="13.5" customHeight="1">
      <c r="B1019" s="98" t="str">
        <f>CONCATENATE("- Documento de Solicitação: ",INFO!$B$24)</f>
        <v>- Documento de Solicitação: TESTE AZUL</v>
      </c>
      <c r="C1019" s="121"/>
      <c r="D1019" s="121"/>
      <c r="E1019" s="121"/>
      <c r="F1019" s="121"/>
      <c r="G1019" s="121"/>
      <c r="H1019" s="121"/>
      <c r="I1019" s="121"/>
      <c r="J1019" s="121"/>
      <c r="K1019" s="121"/>
      <c r="L1019" s="121"/>
      <c r="M1019" s="121"/>
      <c r="N1019" s="121"/>
      <c r="O1019" s="121"/>
      <c r="P1019" s="121"/>
      <c r="Q1019" s="121"/>
      <c r="R1019" s="121"/>
      <c r="S1019" s="121"/>
      <c r="T1019" s="121"/>
      <c r="U1019" s="121"/>
      <c r="V1019" s="121"/>
      <c r="W1019" s="121"/>
      <c r="X1019" s="121"/>
      <c r="Y1019" s="121"/>
      <c r="Z1019" s="121"/>
      <c r="AA1019" s="121"/>
      <c r="AB1019" s="121"/>
    </row>
    <row r="1020" spans="2:29" ht="13.5" customHeight="1">
      <c r="B1020" s="98" t="str">
        <f>CONCATENATE("- Local: ",INFO!$C$18)</f>
        <v>- Local: GUAIRA - PR</v>
      </c>
      <c r="C1020" s="121"/>
      <c r="D1020" s="121"/>
      <c r="E1020" s="121"/>
      <c r="F1020" s="121"/>
      <c r="G1020" s="121"/>
      <c r="H1020" s="121"/>
      <c r="I1020" s="121"/>
      <c r="J1020" s="121"/>
      <c r="K1020" s="121"/>
      <c r="L1020" s="121"/>
      <c r="M1020" s="121"/>
      <c r="N1020" s="121"/>
      <c r="O1020" s="121"/>
      <c r="P1020" s="121"/>
      <c r="Q1020" s="121"/>
      <c r="R1020" s="121"/>
      <c r="S1020" s="121"/>
      <c r="T1020" s="121"/>
      <c r="U1020" s="121"/>
      <c r="V1020" s="121"/>
      <c r="W1020" s="121"/>
      <c r="X1020" s="121"/>
      <c r="Y1020" s="121"/>
      <c r="Z1020" s="121"/>
      <c r="AA1020" s="121"/>
      <c r="AB1020" s="121"/>
    </row>
    <row r="1021" spans="2:29" ht="13.5" customHeight="1">
      <c r="B1021" s="98" t="str">
        <f>CONCATENATE("- Periodo: ",INFO!$C$10," a ",INFO!$C$19)</f>
        <v xml:space="preserve">- Periodo: 22/7/2025  a 23/8/2025 </v>
      </c>
      <c r="C1021" s="121"/>
      <c r="D1021" s="121"/>
      <c r="E1021" s="121"/>
      <c r="F1021" s="121"/>
      <c r="G1021" s="121"/>
      <c r="H1021" s="121"/>
      <c r="I1021" s="121"/>
      <c r="J1021" s="121"/>
      <c r="K1021" s="121"/>
      <c r="L1021" s="121"/>
      <c r="M1021" s="121"/>
      <c r="N1021" s="121"/>
      <c r="O1021" s="121"/>
      <c r="P1021" s="121"/>
      <c r="Q1021" s="121"/>
      <c r="R1021" s="121"/>
      <c r="S1021" s="121"/>
      <c r="T1021" s="121"/>
      <c r="U1021" s="121"/>
      <c r="V1021" s="121"/>
      <c r="W1021" s="121"/>
      <c r="X1021" s="121"/>
      <c r="Y1021" s="121"/>
      <c r="Z1021" s="121"/>
      <c r="AA1021" s="121"/>
      <c r="AB1021" s="121"/>
    </row>
    <row r="1022" spans="2:29" ht="13.5" customHeight="1">
      <c r="B1022" s="98" t="str">
        <f>CONCATENATE("- Nr Dias: ",INFO!$C$20)</f>
        <v>- Nr Dias: 33</v>
      </c>
      <c r="C1022" s="121"/>
      <c r="D1022" s="121"/>
      <c r="E1022" s="121"/>
      <c r="F1022" s="121"/>
      <c r="G1022" s="121"/>
      <c r="H1022" s="121"/>
      <c r="I1022" s="121"/>
      <c r="J1022" s="121"/>
      <c r="K1022" s="121"/>
      <c r="L1022" s="121"/>
      <c r="M1022" s="121"/>
      <c r="N1022" s="121"/>
      <c r="O1022" s="121"/>
      <c r="P1022" s="121"/>
      <c r="Q1022" s="121"/>
      <c r="R1022" s="121"/>
      <c r="S1022" s="121"/>
      <c r="T1022" s="121"/>
      <c r="U1022" s="121"/>
      <c r="V1022" s="121"/>
      <c r="W1022" s="121"/>
      <c r="X1022" s="121"/>
      <c r="Y1022" s="121"/>
      <c r="Z1022" s="121"/>
      <c r="AA1022" s="121"/>
      <c r="AB1022" s="121"/>
    </row>
    <row r="1023" spans="2:29" ht="13.5" customHeight="1">
      <c r="B1023" s="98" t="e">
        <f>CONCATENATE("- Valor Estimado: R$ ",INDEX(QSGR!$J$16:$J$11170,AC1016))</f>
        <v>#N/A</v>
      </c>
      <c r="C1023" s="121"/>
      <c r="D1023" s="121"/>
      <c r="E1023" s="121"/>
      <c r="F1023" s="121"/>
      <c r="G1023" s="121"/>
      <c r="H1023" s="121"/>
      <c r="I1023" s="121"/>
      <c r="J1023" s="121"/>
      <c r="K1023" s="121"/>
      <c r="L1023" s="121"/>
      <c r="M1023" s="121"/>
      <c r="N1023" s="121"/>
      <c r="O1023" s="121"/>
      <c r="P1023" s="121"/>
      <c r="Q1023" s="121"/>
      <c r="R1023" s="121"/>
      <c r="S1023" s="121"/>
      <c r="T1023" s="121"/>
      <c r="U1023" s="121"/>
      <c r="V1023" s="121"/>
      <c r="W1023" s="121"/>
      <c r="X1023" s="121"/>
      <c r="Y1023" s="121"/>
      <c r="Z1023" s="121"/>
      <c r="AA1023" s="121"/>
      <c r="AB1023" s="121"/>
    </row>
    <row r="1024" spans="2:29" ht="13.5" customHeight="1">
      <c r="B1024" s="100"/>
      <c r="C1024" s="121"/>
      <c r="D1024" s="121"/>
      <c r="E1024" s="121"/>
      <c r="F1024" s="121"/>
      <c r="G1024" s="121"/>
      <c r="H1024" s="121"/>
      <c r="I1024" s="121"/>
      <c r="J1024" s="121"/>
      <c r="K1024" s="121"/>
      <c r="L1024" s="121"/>
      <c r="M1024" s="121"/>
      <c r="N1024" s="121"/>
      <c r="O1024" s="121"/>
      <c r="P1024" s="121"/>
      <c r="Q1024" s="121"/>
      <c r="R1024" s="121"/>
      <c r="S1024" s="121"/>
      <c r="T1024" s="121"/>
      <c r="U1024" s="121"/>
      <c r="V1024" s="121"/>
      <c r="W1024" s="121"/>
      <c r="X1024" s="121"/>
      <c r="Y1024" s="121"/>
      <c r="Z1024" s="121"/>
      <c r="AA1024" s="121"/>
      <c r="AB1024" s="121"/>
    </row>
    <row r="1025" spans="2:29" ht="13.5" customHeight="1">
      <c r="B1025" s="98" t="s">
        <v>55</v>
      </c>
      <c r="C1025" s="121"/>
      <c r="D1025" s="121"/>
      <c r="E1025" s="121"/>
      <c r="F1025" s="121"/>
      <c r="G1025" s="121"/>
      <c r="H1025" s="121"/>
      <c r="I1025" s="121"/>
      <c r="J1025" s="121"/>
      <c r="K1025" s="121"/>
      <c r="L1025" s="121"/>
      <c r="M1025" s="121"/>
      <c r="N1025" s="121"/>
      <c r="O1025" s="121"/>
      <c r="P1025" s="121"/>
      <c r="Q1025" s="121"/>
      <c r="R1025" s="121"/>
      <c r="S1025" s="121"/>
      <c r="T1025" s="121"/>
      <c r="U1025" s="121"/>
      <c r="V1025" s="121"/>
      <c r="W1025" s="121"/>
      <c r="X1025" s="121"/>
      <c r="Y1025" s="121"/>
      <c r="Z1025" s="121"/>
      <c r="AA1025" s="121"/>
      <c r="AB1025" s="121"/>
      <c r="AC1025" s="37">
        <f>AC1016+1</f>
        <v>114</v>
      </c>
    </row>
    <row r="1026" spans="2:29" ht="13.5" customHeight="1">
      <c r="B1026" s="99">
        <f>INDEX(QSGR!$B$16:$B$1570,AC1025)</f>
        <v>0</v>
      </c>
      <c r="C1026" s="121"/>
      <c r="D1026" s="121"/>
      <c r="E1026" s="97">
        <f>INDEX(QSGR!$D$16:$D$11170,AC1025)</f>
        <v>0</v>
      </c>
      <c r="F1026" s="121"/>
      <c r="G1026" s="121"/>
      <c r="H1026" s="121"/>
      <c r="I1026" s="121"/>
      <c r="J1026" s="121"/>
      <c r="K1026" s="121"/>
      <c r="L1026" s="121"/>
      <c r="M1026" s="121"/>
      <c r="N1026" s="121"/>
      <c r="O1026" s="121"/>
      <c r="P1026" s="121"/>
      <c r="Q1026" s="121"/>
      <c r="R1026" s="121"/>
      <c r="S1026" s="121"/>
      <c r="T1026" s="121"/>
      <c r="U1026" s="121"/>
      <c r="V1026" s="121"/>
      <c r="W1026" s="121"/>
      <c r="X1026" s="121"/>
      <c r="Y1026" s="121"/>
      <c r="Z1026" s="121"/>
      <c r="AA1026" s="121"/>
      <c r="AB1026" s="121"/>
    </row>
    <row r="1027" spans="2:29" ht="13.5" customHeight="1">
      <c r="B1027" s="96" t="str">
        <f>CONCATENATE("- Evento: ",INFO!$B$22)</f>
        <v>- Evento: PARTICIPAR DA OPERAÇÃO HORUS.</v>
      </c>
      <c r="C1027" s="121"/>
      <c r="D1027" s="121"/>
      <c r="E1027" s="121"/>
      <c r="F1027" s="121"/>
      <c r="G1027" s="121"/>
      <c r="H1027" s="121"/>
      <c r="I1027" s="121"/>
      <c r="J1027" s="121"/>
      <c r="K1027" s="121"/>
      <c r="L1027" s="121"/>
      <c r="M1027" s="121"/>
      <c r="N1027" s="121"/>
      <c r="O1027" s="121"/>
      <c r="P1027" s="121"/>
      <c r="Q1027" s="121"/>
      <c r="R1027" s="121"/>
      <c r="S1027" s="121"/>
      <c r="T1027" s="121"/>
      <c r="U1027" s="121"/>
      <c r="V1027" s="121"/>
      <c r="W1027" s="121"/>
      <c r="X1027" s="121"/>
      <c r="Y1027" s="121"/>
      <c r="Z1027" s="121"/>
      <c r="AA1027" s="121"/>
      <c r="AB1027" s="121"/>
    </row>
    <row r="1028" spans="2:29" ht="13.5" customHeight="1">
      <c r="B1028" s="98" t="str">
        <f>CONCATENATE("- Documento de Solicitação: ",INFO!$B$24)</f>
        <v>- Documento de Solicitação: TESTE AZUL</v>
      </c>
      <c r="C1028" s="121"/>
      <c r="D1028" s="121"/>
      <c r="E1028" s="121"/>
      <c r="F1028" s="121"/>
      <c r="G1028" s="121"/>
      <c r="H1028" s="121"/>
      <c r="I1028" s="121"/>
      <c r="J1028" s="121"/>
      <c r="K1028" s="121"/>
      <c r="L1028" s="121"/>
      <c r="M1028" s="121"/>
      <c r="N1028" s="121"/>
      <c r="O1028" s="121"/>
      <c r="P1028" s="121"/>
      <c r="Q1028" s="121"/>
      <c r="R1028" s="121"/>
      <c r="S1028" s="121"/>
      <c r="T1028" s="121"/>
      <c r="U1028" s="121"/>
      <c r="V1028" s="121"/>
      <c r="W1028" s="121"/>
      <c r="X1028" s="121"/>
      <c r="Y1028" s="121"/>
      <c r="Z1028" s="121"/>
      <c r="AA1028" s="121"/>
      <c r="AB1028" s="121"/>
    </row>
    <row r="1029" spans="2:29" ht="13.5" customHeight="1">
      <c r="B1029" s="98" t="str">
        <f>CONCATENATE("- Local: ",INFO!$C$18)</f>
        <v>- Local: GUAIRA - PR</v>
      </c>
      <c r="C1029" s="121"/>
      <c r="D1029" s="121"/>
      <c r="E1029" s="121"/>
      <c r="F1029" s="121"/>
      <c r="G1029" s="121"/>
      <c r="H1029" s="121"/>
      <c r="I1029" s="121"/>
      <c r="J1029" s="121"/>
      <c r="K1029" s="121"/>
      <c r="L1029" s="121"/>
      <c r="M1029" s="121"/>
      <c r="N1029" s="121"/>
      <c r="O1029" s="121"/>
      <c r="P1029" s="121"/>
      <c r="Q1029" s="121"/>
      <c r="R1029" s="121"/>
      <c r="S1029" s="121"/>
      <c r="T1029" s="121"/>
      <c r="U1029" s="121"/>
      <c r="V1029" s="121"/>
      <c r="W1029" s="121"/>
      <c r="X1029" s="121"/>
      <c r="Y1029" s="121"/>
      <c r="Z1029" s="121"/>
      <c r="AA1029" s="121"/>
      <c r="AB1029" s="121"/>
    </row>
    <row r="1030" spans="2:29" ht="13.5" customHeight="1">
      <c r="B1030" s="98" t="str">
        <f>CONCATENATE("- Periodo: ",INFO!$C$10," a ",INFO!$C$19)</f>
        <v xml:space="preserve">- Periodo: 22/7/2025  a 23/8/2025 </v>
      </c>
      <c r="C1030" s="121"/>
      <c r="D1030" s="121"/>
      <c r="E1030" s="121"/>
      <c r="F1030" s="121"/>
      <c r="G1030" s="121"/>
      <c r="H1030" s="121"/>
      <c r="I1030" s="121"/>
      <c r="J1030" s="121"/>
      <c r="K1030" s="121"/>
      <c r="L1030" s="121"/>
      <c r="M1030" s="121"/>
      <c r="N1030" s="121"/>
      <c r="O1030" s="121"/>
      <c r="P1030" s="121"/>
      <c r="Q1030" s="121"/>
      <c r="R1030" s="121"/>
      <c r="S1030" s="121"/>
      <c r="T1030" s="121"/>
      <c r="U1030" s="121"/>
      <c r="V1030" s="121"/>
      <c r="W1030" s="121"/>
      <c r="X1030" s="121"/>
      <c r="Y1030" s="121"/>
      <c r="Z1030" s="121"/>
      <c r="AA1030" s="121"/>
      <c r="AB1030" s="121"/>
    </row>
    <row r="1031" spans="2:29" ht="13.5" customHeight="1">
      <c r="B1031" s="98" t="str">
        <f>CONCATENATE("- Nr Dias: ",INFO!$C$20)</f>
        <v>- Nr Dias: 33</v>
      </c>
      <c r="C1031" s="121"/>
      <c r="D1031" s="121"/>
      <c r="E1031" s="121"/>
      <c r="F1031" s="121"/>
      <c r="G1031" s="121"/>
      <c r="H1031" s="121"/>
      <c r="I1031" s="121"/>
      <c r="J1031" s="121"/>
      <c r="K1031" s="121"/>
      <c r="L1031" s="121"/>
      <c r="M1031" s="121"/>
      <c r="N1031" s="121"/>
      <c r="O1031" s="121"/>
      <c r="P1031" s="121"/>
      <c r="Q1031" s="121"/>
      <c r="R1031" s="121"/>
      <c r="S1031" s="121"/>
      <c r="T1031" s="121"/>
      <c r="U1031" s="121"/>
      <c r="V1031" s="121"/>
      <c r="W1031" s="121"/>
      <c r="X1031" s="121"/>
      <c r="Y1031" s="121"/>
      <c r="Z1031" s="121"/>
      <c r="AA1031" s="121"/>
      <c r="AB1031" s="121"/>
    </row>
    <row r="1032" spans="2:29" ht="13.5" customHeight="1">
      <c r="B1032" s="98" t="e">
        <f>CONCATENATE("- Valor Estimado: R$ ",INDEX(QSGR!$J$16:$J$11170,AC1025))</f>
        <v>#N/A</v>
      </c>
      <c r="C1032" s="121"/>
      <c r="D1032" s="121"/>
      <c r="E1032" s="121"/>
      <c r="F1032" s="121"/>
      <c r="G1032" s="121"/>
      <c r="H1032" s="121"/>
      <c r="I1032" s="121"/>
      <c r="J1032" s="121"/>
      <c r="K1032" s="121"/>
      <c r="L1032" s="121"/>
      <c r="M1032" s="121"/>
      <c r="N1032" s="121"/>
      <c r="O1032" s="121"/>
      <c r="P1032" s="121"/>
      <c r="Q1032" s="121"/>
      <c r="R1032" s="121"/>
      <c r="S1032" s="121"/>
      <c r="T1032" s="121"/>
      <c r="U1032" s="121"/>
      <c r="V1032" s="121"/>
      <c r="W1032" s="121"/>
      <c r="X1032" s="121"/>
      <c r="Y1032" s="121"/>
      <c r="Z1032" s="121"/>
      <c r="AA1032" s="121"/>
      <c r="AB1032" s="121"/>
    </row>
    <row r="1033" spans="2:29" ht="13.5" customHeight="1">
      <c r="B1033" s="100"/>
      <c r="C1033" s="121"/>
      <c r="D1033" s="121"/>
      <c r="E1033" s="121"/>
      <c r="F1033" s="121"/>
      <c r="G1033" s="121"/>
      <c r="H1033" s="121"/>
      <c r="I1033" s="121"/>
      <c r="J1033" s="121"/>
      <c r="K1033" s="121"/>
      <c r="L1033" s="121"/>
      <c r="M1033" s="121"/>
      <c r="N1033" s="121"/>
      <c r="O1033" s="121"/>
      <c r="P1033" s="121"/>
      <c r="Q1033" s="121"/>
      <c r="R1033" s="121"/>
      <c r="S1033" s="121"/>
      <c r="T1033" s="121"/>
      <c r="U1033" s="121"/>
      <c r="V1033" s="121"/>
      <c r="W1033" s="121"/>
      <c r="X1033" s="121"/>
      <c r="Y1033" s="121"/>
      <c r="Z1033" s="121"/>
      <c r="AA1033" s="121"/>
      <c r="AB1033" s="121"/>
    </row>
    <row r="1034" spans="2:29" ht="13.5" customHeight="1">
      <c r="B1034" s="98" t="s">
        <v>55</v>
      </c>
      <c r="C1034" s="121"/>
      <c r="D1034" s="121"/>
      <c r="E1034" s="121"/>
      <c r="F1034" s="121"/>
      <c r="G1034" s="121"/>
      <c r="H1034" s="121"/>
      <c r="I1034" s="121"/>
      <c r="J1034" s="121"/>
      <c r="K1034" s="121"/>
      <c r="L1034" s="121"/>
      <c r="M1034" s="121"/>
      <c r="N1034" s="121"/>
      <c r="O1034" s="121"/>
      <c r="P1034" s="121"/>
      <c r="Q1034" s="121"/>
      <c r="R1034" s="121"/>
      <c r="S1034" s="121"/>
      <c r="T1034" s="121"/>
      <c r="U1034" s="121"/>
      <c r="V1034" s="121"/>
      <c r="W1034" s="121"/>
      <c r="X1034" s="121"/>
      <c r="Y1034" s="121"/>
      <c r="Z1034" s="121"/>
      <c r="AA1034" s="121"/>
      <c r="AB1034" s="121"/>
      <c r="AC1034" s="37">
        <f>AC1025+1</f>
        <v>115</v>
      </c>
    </row>
    <row r="1035" spans="2:29" ht="13.5" customHeight="1">
      <c r="B1035" s="99">
        <f>INDEX(QSGR!$B$16:$B$1570,AC1034)</f>
        <v>0</v>
      </c>
      <c r="C1035" s="121"/>
      <c r="D1035" s="121"/>
      <c r="E1035" s="97">
        <f>INDEX(QSGR!$D$16:$D$11170,AC1034)</f>
        <v>0</v>
      </c>
      <c r="F1035" s="121"/>
      <c r="G1035" s="121"/>
      <c r="H1035" s="121"/>
      <c r="I1035" s="121"/>
      <c r="J1035" s="121"/>
      <c r="K1035" s="121"/>
      <c r="L1035" s="121"/>
      <c r="M1035" s="121"/>
      <c r="N1035" s="121"/>
      <c r="O1035" s="121"/>
      <c r="P1035" s="121"/>
      <c r="Q1035" s="121"/>
      <c r="R1035" s="121"/>
      <c r="S1035" s="121"/>
      <c r="T1035" s="121"/>
      <c r="U1035" s="121"/>
      <c r="V1035" s="121"/>
      <c r="W1035" s="121"/>
      <c r="X1035" s="121"/>
      <c r="Y1035" s="121"/>
      <c r="Z1035" s="121"/>
      <c r="AA1035" s="121"/>
      <c r="AB1035" s="121"/>
    </row>
    <row r="1036" spans="2:29" ht="13.5" customHeight="1">
      <c r="B1036" s="96" t="str">
        <f>CONCATENATE("- Evento: ",INFO!$B$22)</f>
        <v>- Evento: PARTICIPAR DA OPERAÇÃO HORUS.</v>
      </c>
      <c r="C1036" s="121"/>
      <c r="D1036" s="121"/>
      <c r="E1036" s="121"/>
      <c r="F1036" s="121"/>
      <c r="G1036" s="121"/>
      <c r="H1036" s="121"/>
      <c r="I1036" s="121"/>
      <c r="J1036" s="121"/>
      <c r="K1036" s="121"/>
      <c r="L1036" s="121"/>
      <c r="M1036" s="121"/>
      <c r="N1036" s="121"/>
      <c r="O1036" s="121"/>
      <c r="P1036" s="121"/>
      <c r="Q1036" s="121"/>
      <c r="R1036" s="121"/>
      <c r="S1036" s="121"/>
      <c r="T1036" s="121"/>
      <c r="U1036" s="121"/>
      <c r="V1036" s="121"/>
      <c r="W1036" s="121"/>
      <c r="X1036" s="121"/>
      <c r="Y1036" s="121"/>
      <c r="Z1036" s="121"/>
      <c r="AA1036" s="121"/>
      <c r="AB1036" s="121"/>
    </row>
    <row r="1037" spans="2:29" ht="13.5" customHeight="1">
      <c r="B1037" s="98" t="str">
        <f>CONCATENATE("- Documento de Solicitação: ",INFO!$B$24)</f>
        <v>- Documento de Solicitação: TESTE AZUL</v>
      </c>
      <c r="C1037" s="121"/>
      <c r="D1037" s="121"/>
      <c r="E1037" s="121"/>
      <c r="F1037" s="121"/>
      <c r="G1037" s="121"/>
      <c r="H1037" s="121"/>
      <c r="I1037" s="121"/>
      <c r="J1037" s="121"/>
      <c r="K1037" s="121"/>
      <c r="L1037" s="121"/>
      <c r="M1037" s="121"/>
      <c r="N1037" s="121"/>
      <c r="O1037" s="121"/>
      <c r="P1037" s="121"/>
      <c r="Q1037" s="121"/>
      <c r="R1037" s="121"/>
      <c r="S1037" s="121"/>
      <c r="T1037" s="121"/>
      <c r="U1037" s="121"/>
      <c r="V1037" s="121"/>
      <c r="W1037" s="121"/>
      <c r="X1037" s="121"/>
      <c r="Y1037" s="121"/>
      <c r="Z1037" s="121"/>
      <c r="AA1037" s="121"/>
      <c r="AB1037" s="121"/>
    </row>
    <row r="1038" spans="2:29" ht="13.5" customHeight="1">
      <c r="B1038" s="98" t="str">
        <f>CONCATENATE("- Local: ",INFO!$C$18)</f>
        <v>- Local: GUAIRA - PR</v>
      </c>
      <c r="C1038" s="121"/>
      <c r="D1038" s="121"/>
      <c r="E1038" s="121"/>
      <c r="F1038" s="121"/>
      <c r="G1038" s="121"/>
      <c r="H1038" s="121"/>
      <c r="I1038" s="121"/>
      <c r="J1038" s="121"/>
      <c r="K1038" s="121"/>
      <c r="L1038" s="121"/>
      <c r="M1038" s="121"/>
      <c r="N1038" s="121"/>
      <c r="O1038" s="121"/>
      <c r="P1038" s="121"/>
      <c r="Q1038" s="121"/>
      <c r="R1038" s="121"/>
      <c r="S1038" s="121"/>
      <c r="T1038" s="121"/>
      <c r="U1038" s="121"/>
      <c r="V1038" s="121"/>
      <c r="W1038" s="121"/>
      <c r="X1038" s="121"/>
      <c r="Y1038" s="121"/>
      <c r="Z1038" s="121"/>
      <c r="AA1038" s="121"/>
      <c r="AB1038" s="121"/>
    </row>
    <row r="1039" spans="2:29" ht="13.5" customHeight="1">
      <c r="B1039" s="98" t="str">
        <f>CONCATENATE("- Periodo: ",INFO!$C$10," a ",INFO!$C$19)</f>
        <v xml:space="preserve">- Periodo: 22/7/2025  a 23/8/2025 </v>
      </c>
      <c r="C1039" s="121"/>
      <c r="D1039" s="121"/>
      <c r="E1039" s="121"/>
      <c r="F1039" s="121"/>
      <c r="G1039" s="121"/>
      <c r="H1039" s="121"/>
      <c r="I1039" s="121"/>
      <c r="J1039" s="121"/>
      <c r="K1039" s="121"/>
      <c r="L1039" s="121"/>
      <c r="M1039" s="121"/>
      <c r="N1039" s="121"/>
      <c r="O1039" s="121"/>
      <c r="P1039" s="121"/>
      <c r="Q1039" s="121"/>
      <c r="R1039" s="121"/>
      <c r="S1039" s="121"/>
      <c r="T1039" s="121"/>
      <c r="U1039" s="121"/>
      <c r="V1039" s="121"/>
      <c r="W1039" s="121"/>
      <c r="X1039" s="121"/>
      <c r="Y1039" s="121"/>
      <c r="Z1039" s="121"/>
      <c r="AA1039" s="121"/>
      <c r="AB1039" s="121"/>
    </row>
    <row r="1040" spans="2:29" ht="13.5" customHeight="1">
      <c r="B1040" s="98" t="str">
        <f>CONCATENATE("- Nr Dias: ",INFO!$C$20)</f>
        <v>- Nr Dias: 33</v>
      </c>
      <c r="C1040" s="121"/>
      <c r="D1040" s="121"/>
      <c r="E1040" s="121"/>
      <c r="F1040" s="121"/>
      <c r="G1040" s="121"/>
      <c r="H1040" s="121"/>
      <c r="I1040" s="121"/>
      <c r="J1040" s="121"/>
      <c r="K1040" s="121"/>
      <c r="L1040" s="121"/>
      <c r="M1040" s="121"/>
      <c r="N1040" s="121"/>
      <c r="O1040" s="121"/>
      <c r="P1040" s="121"/>
      <c r="Q1040" s="121"/>
      <c r="R1040" s="121"/>
      <c r="S1040" s="121"/>
      <c r="T1040" s="121"/>
      <c r="U1040" s="121"/>
      <c r="V1040" s="121"/>
      <c r="W1040" s="121"/>
      <c r="X1040" s="121"/>
      <c r="Y1040" s="121"/>
      <c r="Z1040" s="121"/>
      <c r="AA1040" s="121"/>
      <c r="AB1040" s="121"/>
    </row>
    <row r="1041" spans="2:29" ht="13.5" customHeight="1">
      <c r="B1041" s="98" t="e">
        <f>CONCATENATE("- Valor Estimado: R$ ",INDEX(QSGR!$J$16:$J$11170,AC1034))</f>
        <v>#N/A</v>
      </c>
      <c r="C1041" s="121"/>
      <c r="D1041" s="121"/>
      <c r="E1041" s="121"/>
      <c r="F1041" s="121"/>
      <c r="G1041" s="121"/>
      <c r="H1041" s="121"/>
      <c r="I1041" s="121"/>
      <c r="J1041" s="121"/>
      <c r="K1041" s="121"/>
      <c r="L1041" s="121"/>
      <c r="M1041" s="121"/>
      <c r="N1041" s="121"/>
      <c r="O1041" s="121"/>
      <c r="P1041" s="121"/>
      <c r="Q1041" s="121"/>
      <c r="R1041" s="121"/>
      <c r="S1041" s="121"/>
      <c r="T1041" s="121"/>
      <c r="U1041" s="121"/>
      <c r="V1041" s="121"/>
      <c r="W1041" s="121"/>
      <c r="X1041" s="121"/>
      <c r="Y1041" s="121"/>
      <c r="Z1041" s="121"/>
      <c r="AA1041" s="121"/>
      <c r="AB1041" s="121"/>
    </row>
    <row r="1042" spans="2:29" ht="13.5" customHeight="1">
      <c r="B1042" s="100"/>
      <c r="C1042" s="121"/>
      <c r="D1042" s="121"/>
      <c r="E1042" s="121"/>
      <c r="F1042" s="121"/>
      <c r="G1042" s="121"/>
      <c r="H1042" s="121"/>
      <c r="I1042" s="121"/>
      <c r="J1042" s="121"/>
      <c r="K1042" s="121"/>
      <c r="L1042" s="121"/>
      <c r="M1042" s="121"/>
      <c r="N1042" s="121"/>
      <c r="O1042" s="121"/>
      <c r="P1042" s="121"/>
      <c r="Q1042" s="121"/>
      <c r="R1042" s="121"/>
      <c r="S1042" s="121"/>
      <c r="T1042" s="121"/>
      <c r="U1042" s="121"/>
      <c r="V1042" s="121"/>
      <c r="W1042" s="121"/>
      <c r="X1042" s="121"/>
      <c r="Y1042" s="121"/>
      <c r="Z1042" s="121"/>
      <c r="AA1042" s="121"/>
      <c r="AB1042" s="121"/>
    </row>
    <row r="1043" spans="2:29" ht="13.5" customHeight="1">
      <c r="B1043" s="98" t="s">
        <v>55</v>
      </c>
      <c r="C1043" s="121"/>
      <c r="D1043" s="121"/>
      <c r="E1043" s="121"/>
      <c r="F1043" s="121"/>
      <c r="G1043" s="121"/>
      <c r="H1043" s="121"/>
      <c r="I1043" s="121"/>
      <c r="J1043" s="121"/>
      <c r="K1043" s="121"/>
      <c r="L1043" s="121"/>
      <c r="M1043" s="121"/>
      <c r="N1043" s="121"/>
      <c r="O1043" s="121"/>
      <c r="P1043" s="121"/>
      <c r="Q1043" s="121"/>
      <c r="R1043" s="121"/>
      <c r="S1043" s="121"/>
      <c r="T1043" s="121"/>
      <c r="U1043" s="121"/>
      <c r="V1043" s="121"/>
      <c r="W1043" s="121"/>
      <c r="X1043" s="121"/>
      <c r="Y1043" s="121"/>
      <c r="Z1043" s="121"/>
      <c r="AA1043" s="121"/>
      <c r="AB1043" s="121"/>
      <c r="AC1043" s="37">
        <f>AC1034+1</f>
        <v>116</v>
      </c>
    </row>
    <row r="1044" spans="2:29" ht="13.5" customHeight="1">
      <c r="B1044" s="99">
        <f>INDEX(QSGR!$B$16:$B$1570,AC1043)</f>
        <v>0</v>
      </c>
      <c r="C1044" s="121"/>
      <c r="D1044" s="121"/>
      <c r="E1044" s="97">
        <f>INDEX(QSGR!$D$16:$D$11170,AC1043)</f>
        <v>0</v>
      </c>
      <c r="F1044" s="121"/>
      <c r="G1044" s="121"/>
      <c r="H1044" s="121"/>
      <c r="I1044" s="121"/>
      <c r="J1044" s="121"/>
      <c r="K1044" s="121"/>
      <c r="L1044" s="121"/>
      <c r="M1044" s="121"/>
      <c r="N1044" s="121"/>
      <c r="O1044" s="121"/>
      <c r="P1044" s="121"/>
      <c r="Q1044" s="121"/>
      <c r="R1044" s="121"/>
      <c r="S1044" s="121"/>
      <c r="T1044" s="121"/>
      <c r="U1044" s="121"/>
      <c r="V1044" s="121"/>
      <c r="W1044" s="121"/>
      <c r="X1044" s="121"/>
      <c r="Y1044" s="121"/>
      <c r="Z1044" s="121"/>
      <c r="AA1044" s="121"/>
      <c r="AB1044" s="121"/>
    </row>
    <row r="1045" spans="2:29" ht="13.5" customHeight="1">
      <c r="B1045" s="96" t="str">
        <f>CONCATENATE("- Evento: ",INFO!$B$22)</f>
        <v>- Evento: PARTICIPAR DA OPERAÇÃO HORUS.</v>
      </c>
      <c r="C1045" s="121"/>
      <c r="D1045" s="121"/>
      <c r="E1045" s="121"/>
      <c r="F1045" s="121"/>
      <c r="G1045" s="121"/>
      <c r="H1045" s="121"/>
      <c r="I1045" s="121"/>
      <c r="J1045" s="121"/>
      <c r="K1045" s="121"/>
      <c r="L1045" s="121"/>
      <c r="M1045" s="121"/>
      <c r="N1045" s="121"/>
      <c r="O1045" s="121"/>
      <c r="P1045" s="121"/>
      <c r="Q1045" s="121"/>
      <c r="R1045" s="121"/>
      <c r="S1045" s="121"/>
      <c r="T1045" s="121"/>
      <c r="U1045" s="121"/>
      <c r="V1045" s="121"/>
      <c r="W1045" s="121"/>
      <c r="X1045" s="121"/>
      <c r="Y1045" s="121"/>
      <c r="Z1045" s="121"/>
      <c r="AA1045" s="121"/>
      <c r="AB1045" s="121"/>
    </row>
    <row r="1046" spans="2:29" ht="13.5" customHeight="1">
      <c r="B1046" s="98" t="str">
        <f>CONCATENATE("- Documento de Solicitação: ",INFO!$B$24)</f>
        <v>- Documento de Solicitação: TESTE AZUL</v>
      </c>
      <c r="C1046" s="121"/>
      <c r="D1046" s="121"/>
      <c r="E1046" s="121"/>
      <c r="F1046" s="121"/>
      <c r="G1046" s="121"/>
      <c r="H1046" s="121"/>
      <c r="I1046" s="121"/>
      <c r="J1046" s="121"/>
      <c r="K1046" s="121"/>
      <c r="L1046" s="121"/>
      <c r="M1046" s="121"/>
      <c r="N1046" s="121"/>
      <c r="O1046" s="121"/>
      <c r="P1046" s="121"/>
      <c r="Q1046" s="121"/>
      <c r="R1046" s="121"/>
      <c r="S1046" s="121"/>
      <c r="T1046" s="121"/>
      <c r="U1046" s="121"/>
      <c r="V1046" s="121"/>
      <c r="W1046" s="121"/>
      <c r="X1046" s="121"/>
      <c r="Y1046" s="121"/>
      <c r="Z1046" s="121"/>
      <c r="AA1046" s="121"/>
      <c r="AB1046" s="121"/>
    </row>
    <row r="1047" spans="2:29" ht="13.5" customHeight="1">
      <c r="B1047" s="98" t="str">
        <f>CONCATENATE("- Local: ",INFO!$C$18)</f>
        <v>- Local: GUAIRA - PR</v>
      </c>
      <c r="C1047" s="121"/>
      <c r="D1047" s="121"/>
      <c r="E1047" s="121"/>
      <c r="F1047" s="121"/>
      <c r="G1047" s="121"/>
      <c r="H1047" s="121"/>
      <c r="I1047" s="121"/>
      <c r="J1047" s="121"/>
      <c r="K1047" s="121"/>
      <c r="L1047" s="121"/>
      <c r="M1047" s="121"/>
      <c r="N1047" s="121"/>
      <c r="O1047" s="121"/>
      <c r="P1047" s="121"/>
      <c r="Q1047" s="121"/>
      <c r="R1047" s="121"/>
      <c r="S1047" s="121"/>
      <c r="T1047" s="121"/>
      <c r="U1047" s="121"/>
      <c r="V1047" s="121"/>
      <c r="W1047" s="121"/>
      <c r="X1047" s="121"/>
      <c r="Y1047" s="121"/>
      <c r="Z1047" s="121"/>
      <c r="AA1047" s="121"/>
      <c r="AB1047" s="121"/>
    </row>
    <row r="1048" spans="2:29" ht="13.5" customHeight="1">
      <c r="B1048" s="98" t="str">
        <f>CONCATENATE("- Periodo: ",INFO!$C$10," a ",INFO!$C$19)</f>
        <v xml:space="preserve">- Periodo: 22/7/2025  a 23/8/2025 </v>
      </c>
      <c r="C1048" s="121"/>
      <c r="D1048" s="121"/>
      <c r="E1048" s="121"/>
      <c r="F1048" s="121"/>
      <c r="G1048" s="121"/>
      <c r="H1048" s="121"/>
      <c r="I1048" s="121"/>
      <c r="J1048" s="121"/>
      <c r="K1048" s="121"/>
      <c r="L1048" s="121"/>
      <c r="M1048" s="121"/>
      <c r="N1048" s="121"/>
      <c r="O1048" s="121"/>
      <c r="P1048" s="121"/>
      <c r="Q1048" s="121"/>
      <c r="R1048" s="121"/>
      <c r="S1048" s="121"/>
      <c r="T1048" s="121"/>
      <c r="U1048" s="121"/>
      <c r="V1048" s="121"/>
      <c r="W1048" s="121"/>
      <c r="X1048" s="121"/>
      <c r="Y1048" s="121"/>
      <c r="Z1048" s="121"/>
      <c r="AA1048" s="121"/>
      <c r="AB1048" s="121"/>
    </row>
    <row r="1049" spans="2:29" ht="13.5" customHeight="1">
      <c r="B1049" s="98" t="str">
        <f>CONCATENATE("- Nr Dias: ",INFO!$C$20)</f>
        <v>- Nr Dias: 33</v>
      </c>
      <c r="C1049" s="121"/>
      <c r="D1049" s="121"/>
      <c r="E1049" s="121"/>
      <c r="F1049" s="121"/>
      <c r="G1049" s="121"/>
      <c r="H1049" s="121"/>
      <c r="I1049" s="121"/>
      <c r="J1049" s="121"/>
      <c r="K1049" s="121"/>
      <c r="L1049" s="121"/>
      <c r="M1049" s="121"/>
      <c r="N1049" s="121"/>
      <c r="O1049" s="121"/>
      <c r="P1049" s="121"/>
      <c r="Q1049" s="121"/>
      <c r="R1049" s="121"/>
      <c r="S1049" s="121"/>
      <c r="T1049" s="121"/>
      <c r="U1049" s="121"/>
      <c r="V1049" s="121"/>
      <c r="W1049" s="121"/>
      <c r="X1049" s="121"/>
      <c r="Y1049" s="121"/>
      <c r="Z1049" s="121"/>
      <c r="AA1049" s="121"/>
      <c r="AB1049" s="121"/>
    </row>
    <row r="1050" spans="2:29" ht="13.5" customHeight="1">
      <c r="B1050" s="98" t="e">
        <f>CONCATENATE("- Valor Estimado: R$ ",INDEX(QSGR!$J$16:$J$11170,AC1043))</f>
        <v>#N/A</v>
      </c>
      <c r="C1050" s="121"/>
      <c r="D1050" s="121"/>
      <c r="E1050" s="121"/>
      <c r="F1050" s="121"/>
      <c r="G1050" s="121"/>
      <c r="H1050" s="121"/>
      <c r="I1050" s="121"/>
      <c r="J1050" s="121"/>
      <c r="K1050" s="121"/>
      <c r="L1050" s="121"/>
      <c r="M1050" s="121"/>
      <c r="N1050" s="121"/>
      <c r="O1050" s="121"/>
      <c r="P1050" s="121"/>
      <c r="Q1050" s="121"/>
      <c r="R1050" s="121"/>
      <c r="S1050" s="121"/>
      <c r="T1050" s="121"/>
      <c r="U1050" s="121"/>
      <c r="V1050" s="121"/>
      <c r="W1050" s="121"/>
      <c r="X1050" s="121"/>
      <c r="Y1050" s="121"/>
      <c r="Z1050" s="121"/>
      <c r="AA1050" s="121"/>
      <c r="AB1050" s="121"/>
    </row>
    <row r="1051" spans="2:29" ht="13.5" customHeight="1">
      <c r="B1051" s="100"/>
      <c r="C1051" s="121"/>
      <c r="D1051" s="121"/>
      <c r="E1051" s="121"/>
      <c r="F1051" s="121"/>
      <c r="G1051" s="121"/>
      <c r="H1051" s="121"/>
      <c r="I1051" s="121"/>
      <c r="J1051" s="121"/>
      <c r="K1051" s="121"/>
      <c r="L1051" s="121"/>
      <c r="M1051" s="121"/>
      <c r="N1051" s="121"/>
      <c r="O1051" s="121"/>
      <c r="P1051" s="121"/>
      <c r="Q1051" s="121"/>
      <c r="R1051" s="121"/>
      <c r="S1051" s="121"/>
      <c r="T1051" s="121"/>
      <c r="U1051" s="121"/>
      <c r="V1051" s="121"/>
      <c r="W1051" s="121"/>
      <c r="X1051" s="121"/>
      <c r="Y1051" s="121"/>
      <c r="Z1051" s="121"/>
      <c r="AA1051" s="121"/>
      <c r="AB1051" s="121"/>
    </row>
    <row r="1052" spans="2:29" ht="13.5" customHeight="1">
      <c r="B1052" s="98" t="s">
        <v>55</v>
      </c>
      <c r="C1052" s="121"/>
      <c r="D1052" s="121"/>
      <c r="E1052" s="121"/>
      <c r="F1052" s="121"/>
      <c r="G1052" s="121"/>
      <c r="H1052" s="121"/>
      <c r="I1052" s="121"/>
      <c r="J1052" s="121"/>
      <c r="K1052" s="121"/>
      <c r="L1052" s="121"/>
      <c r="M1052" s="121"/>
      <c r="N1052" s="121"/>
      <c r="O1052" s="121"/>
      <c r="P1052" s="121"/>
      <c r="Q1052" s="121"/>
      <c r="R1052" s="121"/>
      <c r="S1052" s="121"/>
      <c r="T1052" s="121"/>
      <c r="U1052" s="121"/>
      <c r="V1052" s="121"/>
      <c r="W1052" s="121"/>
      <c r="X1052" s="121"/>
      <c r="Y1052" s="121"/>
      <c r="Z1052" s="121"/>
      <c r="AA1052" s="121"/>
      <c r="AB1052" s="121"/>
      <c r="AC1052" s="37">
        <f>AC1043+1</f>
        <v>117</v>
      </c>
    </row>
    <row r="1053" spans="2:29" ht="13.5" customHeight="1">
      <c r="B1053" s="99">
        <f>INDEX(QSGR!$B$16:$B$1570,AC1052)</f>
        <v>0</v>
      </c>
      <c r="C1053" s="121"/>
      <c r="D1053" s="121"/>
      <c r="E1053" s="97">
        <f>INDEX(QSGR!$D$16:$D$11170,AC1052)</f>
        <v>0</v>
      </c>
      <c r="F1053" s="121"/>
      <c r="G1053" s="121"/>
      <c r="H1053" s="121"/>
      <c r="I1053" s="121"/>
      <c r="J1053" s="121"/>
      <c r="K1053" s="121"/>
      <c r="L1053" s="121"/>
      <c r="M1053" s="121"/>
      <c r="N1053" s="121"/>
      <c r="O1053" s="121"/>
      <c r="P1053" s="121"/>
      <c r="Q1053" s="121"/>
      <c r="R1053" s="121"/>
      <c r="S1053" s="121"/>
      <c r="T1053" s="121"/>
      <c r="U1053" s="121"/>
      <c r="V1053" s="121"/>
      <c r="W1053" s="121"/>
      <c r="X1053" s="121"/>
      <c r="Y1053" s="121"/>
      <c r="Z1053" s="121"/>
      <c r="AA1053" s="121"/>
      <c r="AB1053" s="121"/>
    </row>
    <row r="1054" spans="2:29" ht="13.5" customHeight="1">
      <c r="B1054" s="96" t="str">
        <f>CONCATENATE("- Evento: ",INFO!$B$22)</f>
        <v>- Evento: PARTICIPAR DA OPERAÇÃO HORUS.</v>
      </c>
      <c r="C1054" s="121"/>
      <c r="D1054" s="121"/>
      <c r="E1054" s="121"/>
      <c r="F1054" s="121"/>
      <c r="G1054" s="121"/>
      <c r="H1054" s="121"/>
      <c r="I1054" s="121"/>
      <c r="J1054" s="121"/>
      <c r="K1054" s="121"/>
      <c r="L1054" s="121"/>
      <c r="M1054" s="121"/>
      <c r="N1054" s="121"/>
      <c r="O1054" s="121"/>
      <c r="P1054" s="121"/>
      <c r="Q1054" s="121"/>
      <c r="R1054" s="121"/>
      <c r="S1054" s="121"/>
      <c r="T1054" s="121"/>
      <c r="U1054" s="121"/>
      <c r="V1054" s="121"/>
      <c r="W1054" s="121"/>
      <c r="X1054" s="121"/>
      <c r="Y1054" s="121"/>
      <c r="Z1054" s="121"/>
      <c r="AA1054" s="121"/>
      <c r="AB1054" s="121"/>
    </row>
    <row r="1055" spans="2:29" ht="13.5" customHeight="1">
      <c r="B1055" s="98" t="str">
        <f>CONCATENATE("- Documento de Solicitação: ",INFO!$B$24)</f>
        <v>- Documento de Solicitação: TESTE AZUL</v>
      </c>
      <c r="C1055" s="121"/>
      <c r="D1055" s="121"/>
      <c r="E1055" s="121"/>
      <c r="F1055" s="121"/>
      <c r="G1055" s="121"/>
      <c r="H1055" s="121"/>
      <c r="I1055" s="121"/>
      <c r="J1055" s="121"/>
      <c r="K1055" s="121"/>
      <c r="L1055" s="121"/>
      <c r="M1055" s="121"/>
      <c r="N1055" s="121"/>
      <c r="O1055" s="121"/>
      <c r="P1055" s="121"/>
      <c r="Q1055" s="121"/>
      <c r="R1055" s="121"/>
      <c r="S1055" s="121"/>
      <c r="T1055" s="121"/>
      <c r="U1055" s="121"/>
      <c r="V1055" s="121"/>
      <c r="W1055" s="121"/>
      <c r="X1055" s="121"/>
      <c r="Y1055" s="121"/>
      <c r="Z1055" s="121"/>
      <c r="AA1055" s="121"/>
      <c r="AB1055" s="121"/>
    </row>
    <row r="1056" spans="2:29" ht="13.5" customHeight="1">
      <c r="B1056" s="98" t="str">
        <f>CONCATENATE("- Local: ",INFO!$C$18)</f>
        <v>- Local: GUAIRA - PR</v>
      </c>
      <c r="C1056" s="121"/>
      <c r="D1056" s="121"/>
      <c r="E1056" s="121"/>
      <c r="F1056" s="121"/>
      <c r="G1056" s="121"/>
      <c r="H1056" s="121"/>
      <c r="I1056" s="121"/>
      <c r="J1056" s="121"/>
      <c r="K1056" s="121"/>
      <c r="L1056" s="121"/>
      <c r="M1056" s="121"/>
      <c r="N1056" s="121"/>
      <c r="O1056" s="121"/>
      <c r="P1056" s="121"/>
      <c r="Q1056" s="121"/>
      <c r="R1056" s="121"/>
      <c r="S1056" s="121"/>
      <c r="T1056" s="121"/>
      <c r="U1056" s="121"/>
      <c r="V1056" s="121"/>
      <c r="W1056" s="121"/>
      <c r="X1056" s="121"/>
      <c r="Y1056" s="121"/>
      <c r="Z1056" s="121"/>
      <c r="AA1056" s="121"/>
      <c r="AB1056" s="121"/>
    </row>
    <row r="1057" spans="2:29" ht="13.5" customHeight="1">
      <c r="B1057" s="98" t="str">
        <f>CONCATENATE("- Periodo: ",INFO!$C$10," a ",INFO!$C$19)</f>
        <v xml:space="preserve">- Periodo: 22/7/2025  a 23/8/2025 </v>
      </c>
      <c r="C1057" s="121"/>
      <c r="D1057" s="121"/>
      <c r="E1057" s="121"/>
      <c r="F1057" s="121"/>
      <c r="G1057" s="121"/>
      <c r="H1057" s="121"/>
      <c r="I1057" s="121"/>
      <c r="J1057" s="121"/>
      <c r="K1057" s="121"/>
      <c r="L1057" s="121"/>
      <c r="M1057" s="121"/>
      <c r="N1057" s="121"/>
      <c r="O1057" s="121"/>
      <c r="P1057" s="121"/>
      <c r="Q1057" s="121"/>
      <c r="R1057" s="121"/>
      <c r="S1057" s="121"/>
      <c r="T1057" s="121"/>
      <c r="U1057" s="121"/>
      <c r="V1057" s="121"/>
      <c r="W1057" s="121"/>
      <c r="X1057" s="121"/>
      <c r="Y1057" s="121"/>
      <c r="Z1057" s="121"/>
      <c r="AA1057" s="121"/>
      <c r="AB1057" s="121"/>
    </row>
    <row r="1058" spans="2:29" ht="13.5" customHeight="1">
      <c r="B1058" s="98" t="str">
        <f>CONCATENATE("- Nr Dias: ",INFO!$C$20)</f>
        <v>- Nr Dias: 33</v>
      </c>
      <c r="C1058" s="121"/>
      <c r="D1058" s="121"/>
      <c r="E1058" s="121"/>
      <c r="F1058" s="121"/>
      <c r="G1058" s="121"/>
      <c r="H1058" s="121"/>
      <c r="I1058" s="121"/>
      <c r="J1058" s="121"/>
      <c r="K1058" s="121"/>
      <c r="L1058" s="121"/>
      <c r="M1058" s="121"/>
      <c r="N1058" s="121"/>
      <c r="O1058" s="121"/>
      <c r="P1058" s="121"/>
      <c r="Q1058" s="121"/>
      <c r="R1058" s="121"/>
      <c r="S1058" s="121"/>
      <c r="T1058" s="121"/>
      <c r="U1058" s="121"/>
      <c r="V1058" s="121"/>
      <c r="W1058" s="121"/>
      <c r="X1058" s="121"/>
      <c r="Y1058" s="121"/>
      <c r="Z1058" s="121"/>
      <c r="AA1058" s="121"/>
      <c r="AB1058" s="121"/>
    </row>
    <row r="1059" spans="2:29" ht="13.5" customHeight="1">
      <c r="B1059" s="98" t="e">
        <f>CONCATENATE("- Valor Estimado: R$ ",INDEX(QSGR!$J$16:$J$11170,AC1052))</f>
        <v>#N/A</v>
      </c>
      <c r="C1059" s="121"/>
      <c r="D1059" s="121"/>
      <c r="E1059" s="121"/>
      <c r="F1059" s="121"/>
      <c r="G1059" s="121"/>
      <c r="H1059" s="121"/>
      <c r="I1059" s="121"/>
      <c r="J1059" s="121"/>
      <c r="K1059" s="121"/>
      <c r="L1059" s="121"/>
      <c r="M1059" s="121"/>
      <c r="N1059" s="121"/>
      <c r="O1059" s="121"/>
      <c r="P1059" s="121"/>
      <c r="Q1059" s="121"/>
      <c r="R1059" s="121"/>
      <c r="S1059" s="121"/>
      <c r="T1059" s="121"/>
      <c r="U1059" s="121"/>
      <c r="V1059" s="121"/>
      <c r="W1059" s="121"/>
      <c r="X1059" s="121"/>
      <c r="Y1059" s="121"/>
      <c r="Z1059" s="121"/>
      <c r="AA1059" s="121"/>
      <c r="AB1059" s="121"/>
    </row>
    <row r="1060" spans="2:29" ht="13.5" customHeight="1">
      <c r="B1060" s="100"/>
      <c r="C1060" s="121"/>
      <c r="D1060" s="121"/>
      <c r="E1060" s="121"/>
      <c r="F1060" s="121"/>
      <c r="G1060" s="121"/>
      <c r="H1060" s="121"/>
      <c r="I1060" s="121"/>
      <c r="J1060" s="121"/>
      <c r="K1060" s="121"/>
      <c r="L1060" s="121"/>
      <c r="M1060" s="121"/>
      <c r="N1060" s="121"/>
      <c r="O1060" s="121"/>
      <c r="P1060" s="121"/>
      <c r="Q1060" s="121"/>
      <c r="R1060" s="121"/>
      <c r="S1060" s="121"/>
      <c r="T1060" s="121"/>
      <c r="U1060" s="121"/>
      <c r="V1060" s="121"/>
      <c r="W1060" s="121"/>
      <c r="X1060" s="121"/>
      <c r="Y1060" s="121"/>
      <c r="Z1060" s="121"/>
      <c r="AA1060" s="121"/>
      <c r="AB1060" s="121"/>
    </row>
    <row r="1061" spans="2:29" ht="13.5" customHeight="1">
      <c r="B1061" s="98" t="s">
        <v>55</v>
      </c>
      <c r="C1061" s="121"/>
      <c r="D1061" s="121"/>
      <c r="E1061" s="121"/>
      <c r="F1061" s="121"/>
      <c r="G1061" s="121"/>
      <c r="H1061" s="121"/>
      <c r="I1061" s="121"/>
      <c r="J1061" s="121"/>
      <c r="K1061" s="121"/>
      <c r="L1061" s="121"/>
      <c r="M1061" s="121"/>
      <c r="N1061" s="121"/>
      <c r="O1061" s="121"/>
      <c r="P1061" s="121"/>
      <c r="Q1061" s="121"/>
      <c r="R1061" s="121"/>
      <c r="S1061" s="121"/>
      <c r="T1061" s="121"/>
      <c r="U1061" s="121"/>
      <c r="V1061" s="121"/>
      <c r="W1061" s="121"/>
      <c r="X1061" s="121"/>
      <c r="Y1061" s="121"/>
      <c r="Z1061" s="121"/>
      <c r="AA1061" s="121"/>
      <c r="AB1061" s="121"/>
      <c r="AC1061" s="37">
        <f>AC1052+1</f>
        <v>118</v>
      </c>
    </row>
    <row r="1062" spans="2:29" ht="13.5" customHeight="1">
      <c r="B1062" s="99">
        <f>INDEX(QSGR!$B$16:$B$1570,AC1061)</f>
        <v>0</v>
      </c>
      <c r="C1062" s="121"/>
      <c r="D1062" s="121"/>
      <c r="E1062" s="97">
        <f>INDEX(QSGR!$D$16:$D$11170,AC1061)</f>
        <v>0</v>
      </c>
      <c r="F1062" s="121"/>
      <c r="G1062" s="121"/>
      <c r="H1062" s="121"/>
      <c r="I1062" s="121"/>
      <c r="J1062" s="121"/>
      <c r="K1062" s="121"/>
      <c r="L1062" s="121"/>
      <c r="M1062" s="121"/>
      <c r="N1062" s="121"/>
      <c r="O1062" s="121"/>
      <c r="P1062" s="121"/>
      <c r="Q1062" s="121"/>
      <c r="R1062" s="121"/>
      <c r="S1062" s="121"/>
      <c r="T1062" s="121"/>
      <c r="U1062" s="121"/>
      <c r="V1062" s="121"/>
      <c r="W1062" s="121"/>
      <c r="X1062" s="121"/>
      <c r="Y1062" s="121"/>
      <c r="Z1062" s="121"/>
      <c r="AA1062" s="121"/>
      <c r="AB1062" s="121"/>
    </row>
    <row r="1063" spans="2:29" ht="13.5" customHeight="1">
      <c r="B1063" s="96" t="str">
        <f>CONCATENATE("- Evento: ",INFO!$B$22)</f>
        <v>- Evento: PARTICIPAR DA OPERAÇÃO HORUS.</v>
      </c>
      <c r="C1063" s="121"/>
      <c r="D1063" s="121"/>
      <c r="E1063" s="121"/>
      <c r="F1063" s="121"/>
      <c r="G1063" s="121"/>
      <c r="H1063" s="121"/>
      <c r="I1063" s="121"/>
      <c r="J1063" s="121"/>
      <c r="K1063" s="121"/>
      <c r="L1063" s="121"/>
      <c r="M1063" s="121"/>
      <c r="N1063" s="121"/>
      <c r="O1063" s="121"/>
      <c r="P1063" s="121"/>
      <c r="Q1063" s="121"/>
      <c r="R1063" s="121"/>
      <c r="S1063" s="121"/>
      <c r="T1063" s="121"/>
      <c r="U1063" s="121"/>
      <c r="V1063" s="121"/>
      <c r="W1063" s="121"/>
      <c r="X1063" s="121"/>
      <c r="Y1063" s="121"/>
      <c r="Z1063" s="121"/>
      <c r="AA1063" s="121"/>
      <c r="AB1063" s="121"/>
    </row>
    <row r="1064" spans="2:29" ht="13.5" customHeight="1">
      <c r="B1064" s="98" t="str">
        <f>CONCATENATE("- Documento de Solicitação: ",INFO!$B$24)</f>
        <v>- Documento de Solicitação: TESTE AZUL</v>
      </c>
      <c r="C1064" s="121"/>
      <c r="D1064" s="121"/>
      <c r="E1064" s="121"/>
      <c r="F1064" s="121"/>
      <c r="G1064" s="121"/>
      <c r="H1064" s="121"/>
      <c r="I1064" s="121"/>
      <c r="J1064" s="121"/>
      <c r="K1064" s="121"/>
      <c r="L1064" s="121"/>
      <c r="M1064" s="121"/>
      <c r="N1064" s="121"/>
      <c r="O1064" s="121"/>
      <c r="P1064" s="121"/>
      <c r="Q1064" s="121"/>
      <c r="R1064" s="121"/>
      <c r="S1064" s="121"/>
      <c r="T1064" s="121"/>
      <c r="U1064" s="121"/>
      <c r="V1064" s="121"/>
      <c r="W1064" s="121"/>
      <c r="X1064" s="121"/>
      <c r="Y1064" s="121"/>
      <c r="Z1064" s="121"/>
      <c r="AA1064" s="121"/>
      <c r="AB1064" s="121"/>
    </row>
    <row r="1065" spans="2:29" ht="13.5" customHeight="1">
      <c r="B1065" s="98" t="str">
        <f>CONCATENATE("- Local: ",INFO!$C$18)</f>
        <v>- Local: GUAIRA - PR</v>
      </c>
      <c r="C1065" s="121"/>
      <c r="D1065" s="121"/>
      <c r="E1065" s="121"/>
      <c r="F1065" s="121"/>
      <c r="G1065" s="121"/>
      <c r="H1065" s="121"/>
      <c r="I1065" s="121"/>
      <c r="J1065" s="121"/>
      <c r="K1065" s="121"/>
      <c r="L1065" s="121"/>
      <c r="M1065" s="121"/>
      <c r="N1065" s="121"/>
      <c r="O1065" s="121"/>
      <c r="P1065" s="121"/>
      <c r="Q1065" s="121"/>
      <c r="R1065" s="121"/>
      <c r="S1065" s="121"/>
      <c r="T1065" s="121"/>
      <c r="U1065" s="121"/>
      <c r="V1065" s="121"/>
      <c r="W1065" s="121"/>
      <c r="X1065" s="121"/>
      <c r="Y1065" s="121"/>
      <c r="Z1065" s="121"/>
      <c r="AA1065" s="121"/>
      <c r="AB1065" s="121"/>
    </row>
    <row r="1066" spans="2:29" ht="13.5" customHeight="1">
      <c r="B1066" s="98" t="str">
        <f>CONCATENATE("- Periodo: ",INFO!$C$10," a ",INFO!$C$19)</f>
        <v xml:space="preserve">- Periodo: 22/7/2025  a 23/8/2025 </v>
      </c>
      <c r="C1066" s="121"/>
      <c r="D1066" s="121"/>
      <c r="E1066" s="121"/>
      <c r="F1066" s="121"/>
      <c r="G1066" s="121"/>
      <c r="H1066" s="121"/>
      <c r="I1066" s="121"/>
      <c r="J1066" s="121"/>
      <c r="K1066" s="121"/>
      <c r="L1066" s="121"/>
      <c r="M1066" s="121"/>
      <c r="N1066" s="121"/>
      <c r="O1066" s="121"/>
      <c r="P1066" s="121"/>
      <c r="Q1066" s="121"/>
      <c r="R1066" s="121"/>
      <c r="S1066" s="121"/>
      <c r="T1066" s="121"/>
      <c r="U1066" s="121"/>
      <c r="V1066" s="121"/>
      <c r="W1066" s="121"/>
      <c r="X1066" s="121"/>
      <c r="Y1066" s="121"/>
      <c r="Z1066" s="121"/>
      <c r="AA1066" s="121"/>
      <c r="AB1066" s="121"/>
    </row>
    <row r="1067" spans="2:29" ht="13.5" customHeight="1">
      <c r="B1067" s="98" t="str">
        <f>CONCATENATE("- Nr Dias: ",INFO!$C$20)</f>
        <v>- Nr Dias: 33</v>
      </c>
      <c r="C1067" s="121"/>
      <c r="D1067" s="121"/>
      <c r="E1067" s="121"/>
      <c r="F1067" s="121"/>
      <c r="G1067" s="121"/>
      <c r="H1067" s="121"/>
      <c r="I1067" s="121"/>
      <c r="J1067" s="121"/>
      <c r="K1067" s="121"/>
      <c r="L1067" s="121"/>
      <c r="M1067" s="121"/>
      <c r="N1067" s="121"/>
      <c r="O1067" s="121"/>
      <c r="P1067" s="121"/>
      <c r="Q1067" s="121"/>
      <c r="R1067" s="121"/>
      <c r="S1067" s="121"/>
      <c r="T1067" s="121"/>
      <c r="U1067" s="121"/>
      <c r="V1067" s="121"/>
      <c r="W1067" s="121"/>
      <c r="X1067" s="121"/>
      <c r="Y1067" s="121"/>
      <c r="Z1067" s="121"/>
      <c r="AA1067" s="121"/>
      <c r="AB1067" s="121"/>
    </row>
    <row r="1068" spans="2:29" ht="13.5" customHeight="1">
      <c r="B1068" s="98" t="e">
        <f>CONCATENATE("- Valor Estimado: R$ ",INDEX(QSGR!$J$16:$J$11170,AC1061))</f>
        <v>#N/A</v>
      </c>
      <c r="C1068" s="121"/>
      <c r="D1068" s="121"/>
      <c r="E1068" s="121"/>
      <c r="F1068" s="121"/>
      <c r="G1068" s="121"/>
      <c r="H1068" s="121"/>
      <c r="I1068" s="121"/>
      <c r="J1068" s="121"/>
      <c r="K1068" s="121"/>
      <c r="L1068" s="121"/>
      <c r="M1068" s="121"/>
      <c r="N1068" s="121"/>
      <c r="O1068" s="121"/>
      <c r="P1068" s="121"/>
      <c r="Q1068" s="121"/>
      <c r="R1068" s="121"/>
      <c r="S1068" s="121"/>
      <c r="T1068" s="121"/>
      <c r="U1068" s="121"/>
      <c r="V1068" s="121"/>
      <c r="W1068" s="121"/>
      <c r="X1068" s="121"/>
      <c r="Y1068" s="121"/>
      <c r="Z1068" s="121"/>
      <c r="AA1068" s="121"/>
      <c r="AB1068" s="121"/>
    </row>
    <row r="1069" spans="2:29" ht="13.5" customHeight="1">
      <c r="B1069" s="100"/>
      <c r="C1069" s="121"/>
      <c r="D1069" s="121"/>
      <c r="E1069" s="121"/>
      <c r="F1069" s="121"/>
      <c r="G1069" s="121"/>
      <c r="H1069" s="121"/>
      <c r="I1069" s="121"/>
      <c r="J1069" s="121"/>
      <c r="K1069" s="121"/>
      <c r="L1069" s="121"/>
      <c r="M1069" s="121"/>
      <c r="N1069" s="121"/>
      <c r="O1069" s="121"/>
      <c r="P1069" s="121"/>
      <c r="Q1069" s="121"/>
      <c r="R1069" s="121"/>
      <c r="S1069" s="121"/>
      <c r="T1069" s="121"/>
      <c r="U1069" s="121"/>
      <c r="V1069" s="121"/>
      <c r="W1069" s="121"/>
      <c r="X1069" s="121"/>
      <c r="Y1069" s="121"/>
      <c r="Z1069" s="121"/>
      <c r="AA1069" s="121"/>
      <c r="AB1069" s="121"/>
    </row>
    <row r="1070" spans="2:29" ht="13.5" customHeight="1">
      <c r="B1070" s="98" t="s">
        <v>55</v>
      </c>
      <c r="C1070" s="121"/>
      <c r="D1070" s="121"/>
      <c r="E1070" s="121"/>
      <c r="F1070" s="121"/>
      <c r="G1070" s="121"/>
      <c r="H1070" s="121"/>
      <c r="I1070" s="121"/>
      <c r="J1070" s="121"/>
      <c r="K1070" s="121"/>
      <c r="L1070" s="121"/>
      <c r="M1070" s="121"/>
      <c r="N1070" s="121"/>
      <c r="O1070" s="121"/>
      <c r="P1070" s="121"/>
      <c r="Q1070" s="121"/>
      <c r="R1070" s="121"/>
      <c r="S1070" s="121"/>
      <c r="T1070" s="121"/>
      <c r="U1070" s="121"/>
      <c r="V1070" s="121"/>
      <c r="W1070" s="121"/>
      <c r="X1070" s="121"/>
      <c r="Y1070" s="121"/>
      <c r="Z1070" s="121"/>
      <c r="AA1070" s="121"/>
      <c r="AB1070" s="121"/>
      <c r="AC1070" s="37">
        <f>AC1061+1</f>
        <v>119</v>
      </c>
    </row>
    <row r="1071" spans="2:29" ht="13.5" customHeight="1">
      <c r="B1071" s="99">
        <f>INDEX(QSGR!$B$16:$B$1570,AC1070)</f>
        <v>0</v>
      </c>
      <c r="C1071" s="121"/>
      <c r="D1071" s="121"/>
      <c r="E1071" s="97">
        <f>INDEX(QSGR!$D$16:$D$11170,AC1070)</f>
        <v>0</v>
      </c>
      <c r="F1071" s="121"/>
      <c r="G1071" s="121"/>
      <c r="H1071" s="121"/>
      <c r="I1071" s="121"/>
      <c r="J1071" s="121"/>
      <c r="K1071" s="121"/>
      <c r="L1071" s="121"/>
      <c r="M1071" s="121"/>
      <c r="N1071" s="121"/>
      <c r="O1071" s="121"/>
      <c r="P1071" s="121"/>
      <c r="Q1071" s="121"/>
      <c r="R1071" s="121"/>
      <c r="S1071" s="121"/>
      <c r="T1071" s="121"/>
      <c r="U1071" s="121"/>
      <c r="V1071" s="121"/>
      <c r="W1071" s="121"/>
      <c r="X1071" s="121"/>
      <c r="Y1071" s="121"/>
      <c r="Z1071" s="121"/>
      <c r="AA1071" s="121"/>
      <c r="AB1071" s="121"/>
    </row>
    <row r="1072" spans="2:29" ht="13.5" customHeight="1">
      <c r="B1072" s="96" t="str">
        <f>CONCATENATE("- Evento: ",INFO!$B$22)</f>
        <v>- Evento: PARTICIPAR DA OPERAÇÃO HORUS.</v>
      </c>
      <c r="C1072" s="121"/>
      <c r="D1072" s="121"/>
      <c r="E1072" s="121"/>
      <c r="F1072" s="121"/>
      <c r="G1072" s="121"/>
      <c r="H1072" s="121"/>
      <c r="I1072" s="121"/>
      <c r="J1072" s="121"/>
      <c r="K1072" s="121"/>
      <c r="L1072" s="121"/>
      <c r="M1072" s="121"/>
      <c r="N1072" s="121"/>
      <c r="O1072" s="121"/>
      <c r="P1072" s="121"/>
      <c r="Q1072" s="121"/>
      <c r="R1072" s="121"/>
      <c r="S1072" s="121"/>
      <c r="T1072" s="121"/>
      <c r="U1072" s="121"/>
      <c r="V1072" s="121"/>
      <c r="W1072" s="121"/>
      <c r="X1072" s="121"/>
      <c r="Y1072" s="121"/>
      <c r="Z1072" s="121"/>
      <c r="AA1072" s="121"/>
      <c r="AB1072" s="121"/>
    </row>
    <row r="1073" spans="2:29" ht="13.5" customHeight="1">
      <c r="B1073" s="98" t="str">
        <f>CONCATENATE("- Documento de Solicitação: ",INFO!$B$24)</f>
        <v>- Documento de Solicitação: TESTE AZUL</v>
      </c>
      <c r="C1073" s="121"/>
      <c r="D1073" s="121"/>
      <c r="E1073" s="121"/>
      <c r="F1073" s="121"/>
      <c r="G1073" s="121"/>
      <c r="H1073" s="121"/>
      <c r="I1073" s="121"/>
      <c r="J1073" s="121"/>
      <c r="K1073" s="121"/>
      <c r="L1073" s="121"/>
      <c r="M1073" s="121"/>
      <c r="N1073" s="121"/>
      <c r="O1073" s="121"/>
      <c r="P1073" s="121"/>
      <c r="Q1073" s="121"/>
      <c r="R1073" s="121"/>
      <c r="S1073" s="121"/>
      <c r="T1073" s="121"/>
      <c r="U1073" s="121"/>
      <c r="V1073" s="121"/>
      <c r="W1073" s="121"/>
      <c r="X1073" s="121"/>
      <c r="Y1073" s="121"/>
      <c r="Z1073" s="121"/>
      <c r="AA1073" s="121"/>
      <c r="AB1073" s="121"/>
    </row>
    <row r="1074" spans="2:29" ht="13.5" customHeight="1">
      <c r="B1074" s="98" t="str">
        <f>CONCATENATE("- Local: ",INFO!$C$18)</f>
        <v>- Local: GUAIRA - PR</v>
      </c>
      <c r="C1074" s="121"/>
      <c r="D1074" s="121"/>
      <c r="E1074" s="121"/>
      <c r="F1074" s="121"/>
      <c r="G1074" s="121"/>
      <c r="H1074" s="121"/>
      <c r="I1074" s="121"/>
      <c r="J1074" s="121"/>
      <c r="K1074" s="121"/>
      <c r="L1074" s="121"/>
      <c r="M1074" s="121"/>
      <c r="N1074" s="121"/>
      <c r="O1074" s="121"/>
      <c r="P1074" s="121"/>
      <c r="Q1074" s="121"/>
      <c r="R1074" s="121"/>
      <c r="S1074" s="121"/>
      <c r="T1074" s="121"/>
      <c r="U1074" s="121"/>
      <c r="V1074" s="121"/>
      <c r="W1074" s="121"/>
      <c r="X1074" s="121"/>
      <c r="Y1074" s="121"/>
      <c r="Z1074" s="121"/>
      <c r="AA1074" s="121"/>
      <c r="AB1074" s="121"/>
    </row>
    <row r="1075" spans="2:29" ht="13.5" customHeight="1">
      <c r="B1075" s="98" t="str">
        <f>CONCATENATE("- Periodo: ",INFO!$C$10," a ",INFO!$C$19)</f>
        <v xml:space="preserve">- Periodo: 22/7/2025  a 23/8/2025 </v>
      </c>
      <c r="C1075" s="121"/>
      <c r="D1075" s="121"/>
      <c r="E1075" s="121"/>
      <c r="F1075" s="121"/>
      <c r="G1075" s="121"/>
      <c r="H1075" s="121"/>
      <c r="I1075" s="121"/>
      <c r="J1075" s="121"/>
      <c r="K1075" s="121"/>
      <c r="L1075" s="121"/>
      <c r="M1075" s="121"/>
      <c r="N1075" s="121"/>
      <c r="O1075" s="121"/>
      <c r="P1075" s="121"/>
      <c r="Q1075" s="121"/>
      <c r="R1075" s="121"/>
      <c r="S1075" s="121"/>
      <c r="T1075" s="121"/>
      <c r="U1075" s="121"/>
      <c r="V1075" s="121"/>
      <c r="W1075" s="121"/>
      <c r="X1075" s="121"/>
      <c r="Y1075" s="121"/>
      <c r="Z1075" s="121"/>
      <c r="AA1075" s="121"/>
      <c r="AB1075" s="121"/>
    </row>
    <row r="1076" spans="2:29" ht="13.5" customHeight="1">
      <c r="B1076" s="98" t="str">
        <f>CONCATENATE("- Nr Dias: ",INFO!$C$20)</f>
        <v>- Nr Dias: 33</v>
      </c>
      <c r="C1076" s="121"/>
      <c r="D1076" s="121"/>
      <c r="E1076" s="121"/>
      <c r="F1076" s="121"/>
      <c r="G1076" s="121"/>
      <c r="H1076" s="121"/>
      <c r="I1076" s="121"/>
      <c r="J1076" s="121"/>
      <c r="K1076" s="121"/>
      <c r="L1076" s="121"/>
      <c r="M1076" s="121"/>
      <c r="N1076" s="121"/>
      <c r="O1076" s="121"/>
      <c r="P1076" s="121"/>
      <c r="Q1076" s="121"/>
      <c r="R1076" s="121"/>
      <c r="S1076" s="121"/>
      <c r="T1076" s="121"/>
      <c r="U1076" s="121"/>
      <c r="V1076" s="121"/>
      <c r="W1076" s="121"/>
      <c r="X1076" s="121"/>
      <c r="Y1076" s="121"/>
      <c r="Z1076" s="121"/>
      <c r="AA1076" s="121"/>
      <c r="AB1076" s="121"/>
    </row>
    <row r="1077" spans="2:29" ht="13.5" customHeight="1">
      <c r="B1077" s="98" t="e">
        <f>CONCATENATE("- Valor Estimado: R$ ",INDEX(QSGR!$J$16:$J$11170,AC1070))</f>
        <v>#N/A</v>
      </c>
      <c r="C1077" s="121"/>
      <c r="D1077" s="121"/>
      <c r="E1077" s="121"/>
      <c r="F1077" s="121"/>
      <c r="G1077" s="121"/>
      <c r="H1077" s="121"/>
      <c r="I1077" s="121"/>
      <c r="J1077" s="121"/>
      <c r="K1077" s="121"/>
      <c r="L1077" s="121"/>
      <c r="M1077" s="121"/>
      <c r="N1077" s="121"/>
      <c r="O1077" s="121"/>
      <c r="P1077" s="121"/>
      <c r="Q1077" s="121"/>
      <c r="R1077" s="121"/>
      <c r="S1077" s="121"/>
      <c r="T1077" s="121"/>
      <c r="U1077" s="121"/>
      <c r="V1077" s="121"/>
      <c r="W1077" s="121"/>
      <c r="X1077" s="121"/>
      <c r="Y1077" s="121"/>
      <c r="Z1077" s="121"/>
      <c r="AA1077" s="121"/>
      <c r="AB1077" s="121"/>
    </row>
    <row r="1078" spans="2:29" ht="13.5" customHeight="1">
      <c r="B1078" s="100"/>
      <c r="C1078" s="121"/>
      <c r="D1078" s="121"/>
      <c r="E1078" s="121"/>
      <c r="F1078" s="121"/>
      <c r="G1078" s="121"/>
      <c r="H1078" s="121"/>
      <c r="I1078" s="121"/>
      <c r="J1078" s="121"/>
      <c r="K1078" s="121"/>
      <c r="L1078" s="121"/>
      <c r="M1078" s="121"/>
      <c r="N1078" s="121"/>
      <c r="O1078" s="121"/>
      <c r="P1078" s="121"/>
      <c r="Q1078" s="121"/>
      <c r="R1078" s="121"/>
      <c r="S1078" s="121"/>
      <c r="T1078" s="121"/>
      <c r="U1078" s="121"/>
      <c r="V1078" s="121"/>
      <c r="W1078" s="121"/>
      <c r="X1078" s="121"/>
      <c r="Y1078" s="121"/>
      <c r="Z1078" s="121"/>
      <c r="AA1078" s="121"/>
      <c r="AB1078" s="121"/>
    </row>
    <row r="1079" spans="2:29" ht="13.5" customHeight="1">
      <c r="B1079" s="98" t="s">
        <v>55</v>
      </c>
      <c r="C1079" s="121"/>
      <c r="D1079" s="121"/>
      <c r="E1079" s="121"/>
      <c r="F1079" s="121"/>
      <c r="G1079" s="121"/>
      <c r="H1079" s="121"/>
      <c r="I1079" s="121"/>
      <c r="J1079" s="121"/>
      <c r="K1079" s="121"/>
      <c r="L1079" s="121"/>
      <c r="M1079" s="121"/>
      <c r="N1079" s="121"/>
      <c r="O1079" s="121"/>
      <c r="P1079" s="121"/>
      <c r="Q1079" s="121"/>
      <c r="R1079" s="121"/>
      <c r="S1079" s="121"/>
      <c r="T1079" s="121"/>
      <c r="U1079" s="121"/>
      <c r="V1079" s="121"/>
      <c r="W1079" s="121"/>
      <c r="X1079" s="121"/>
      <c r="Y1079" s="121"/>
      <c r="Z1079" s="121"/>
      <c r="AA1079" s="121"/>
      <c r="AB1079" s="121"/>
      <c r="AC1079" s="37">
        <f>AC1070+1</f>
        <v>120</v>
      </c>
    </row>
    <row r="1080" spans="2:29" ht="13.5" customHeight="1">
      <c r="B1080" s="99">
        <f>INDEX(QSGR!$B$16:$B$1570,AC1079)</f>
        <v>0</v>
      </c>
      <c r="C1080" s="121"/>
      <c r="D1080" s="121"/>
      <c r="E1080" s="97">
        <f>INDEX(QSGR!$D$16:$D$11170,AC1079)</f>
        <v>0</v>
      </c>
      <c r="F1080" s="121"/>
      <c r="G1080" s="121"/>
      <c r="H1080" s="121"/>
      <c r="I1080" s="121"/>
      <c r="J1080" s="121"/>
      <c r="K1080" s="121"/>
      <c r="L1080" s="121"/>
      <c r="M1080" s="121"/>
      <c r="N1080" s="121"/>
      <c r="O1080" s="121"/>
      <c r="P1080" s="121"/>
      <c r="Q1080" s="121"/>
      <c r="R1080" s="121"/>
      <c r="S1080" s="121"/>
      <c r="T1080" s="121"/>
      <c r="U1080" s="121"/>
      <c r="V1080" s="121"/>
      <c r="W1080" s="121"/>
      <c r="X1080" s="121"/>
      <c r="Y1080" s="121"/>
      <c r="Z1080" s="121"/>
      <c r="AA1080" s="121"/>
      <c r="AB1080" s="121"/>
    </row>
    <row r="1081" spans="2:29" ht="13.5" customHeight="1">
      <c r="B1081" s="96" t="str">
        <f>CONCATENATE("- Evento: ",INFO!$B$22)</f>
        <v>- Evento: PARTICIPAR DA OPERAÇÃO HORUS.</v>
      </c>
      <c r="C1081" s="121"/>
      <c r="D1081" s="121"/>
      <c r="E1081" s="121"/>
      <c r="F1081" s="121"/>
      <c r="G1081" s="121"/>
      <c r="H1081" s="121"/>
      <c r="I1081" s="121"/>
      <c r="J1081" s="121"/>
      <c r="K1081" s="121"/>
      <c r="L1081" s="121"/>
      <c r="M1081" s="121"/>
      <c r="N1081" s="121"/>
      <c r="O1081" s="121"/>
      <c r="P1081" s="121"/>
      <c r="Q1081" s="121"/>
      <c r="R1081" s="121"/>
      <c r="S1081" s="121"/>
      <c r="T1081" s="121"/>
      <c r="U1081" s="121"/>
      <c r="V1081" s="121"/>
      <c r="W1081" s="121"/>
      <c r="X1081" s="121"/>
      <c r="Y1081" s="121"/>
      <c r="Z1081" s="121"/>
      <c r="AA1081" s="121"/>
      <c r="AB1081" s="121"/>
    </row>
    <row r="1082" spans="2:29" ht="13.5" customHeight="1">
      <c r="B1082" s="98" t="str">
        <f>CONCATENATE("- Documento de Solicitação: ",INFO!$B$24)</f>
        <v>- Documento de Solicitação: TESTE AZUL</v>
      </c>
      <c r="C1082" s="121"/>
      <c r="D1082" s="121"/>
      <c r="E1082" s="121"/>
      <c r="F1082" s="121"/>
      <c r="G1082" s="121"/>
      <c r="H1082" s="121"/>
      <c r="I1082" s="121"/>
      <c r="J1082" s="121"/>
      <c r="K1082" s="121"/>
      <c r="L1082" s="121"/>
      <c r="M1082" s="121"/>
      <c r="N1082" s="121"/>
      <c r="O1082" s="121"/>
      <c r="P1082" s="121"/>
      <c r="Q1082" s="121"/>
      <c r="R1082" s="121"/>
      <c r="S1082" s="121"/>
      <c r="T1082" s="121"/>
      <c r="U1082" s="121"/>
      <c r="V1082" s="121"/>
      <c r="W1082" s="121"/>
      <c r="X1082" s="121"/>
      <c r="Y1082" s="121"/>
      <c r="Z1082" s="121"/>
      <c r="AA1082" s="121"/>
      <c r="AB1082" s="121"/>
    </row>
    <row r="1083" spans="2:29" ht="13.5" customHeight="1">
      <c r="B1083" s="98" t="str">
        <f>CONCATENATE("- Local: ",INFO!$C$18)</f>
        <v>- Local: GUAIRA - PR</v>
      </c>
      <c r="C1083" s="121"/>
      <c r="D1083" s="121"/>
      <c r="E1083" s="121"/>
      <c r="F1083" s="121"/>
      <c r="G1083" s="121"/>
      <c r="H1083" s="121"/>
      <c r="I1083" s="121"/>
      <c r="J1083" s="121"/>
      <c r="K1083" s="121"/>
      <c r="L1083" s="121"/>
      <c r="M1083" s="121"/>
      <c r="N1083" s="121"/>
      <c r="O1083" s="121"/>
      <c r="P1083" s="121"/>
      <c r="Q1083" s="121"/>
      <c r="R1083" s="121"/>
      <c r="S1083" s="121"/>
      <c r="T1083" s="121"/>
      <c r="U1083" s="121"/>
      <c r="V1083" s="121"/>
      <c r="W1083" s="121"/>
      <c r="X1083" s="121"/>
      <c r="Y1083" s="121"/>
      <c r="Z1083" s="121"/>
      <c r="AA1083" s="121"/>
      <c r="AB1083" s="121"/>
    </row>
    <row r="1084" spans="2:29" ht="13.5" customHeight="1">
      <c r="B1084" s="98" t="str">
        <f>CONCATENATE("- Periodo: ",INFO!$C$10," a ",INFO!$C$19)</f>
        <v xml:space="preserve">- Periodo: 22/7/2025  a 23/8/2025 </v>
      </c>
      <c r="C1084" s="121"/>
      <c r="D1084" s="121"/>
      <c r="E1084" s="121"/>
      <c r="F1084" s="121"/>
      <c r="G1084" s="121"/>
      <c r="H1084" s="121"/>
      <c r="I1084" s="121"/>
      <c r="J1084" s="121"/>
      <c r="K1084" s="121"/>
      <c r="L1084" s="121"/>
      <c r="M1084" s="121"/>
      <c r="N1084" s="121"/>
      <c r="O1084" s="121"/>
      <c r="P1084" s="121"/>
      <c r="Q1084" s="121"/>
      <c r="R1084" s="121"/>
      <c r="S1084" s="121"/>
      <c r="T1084" s="121"/>
      <c r="U1084" s="121"/>
      <c r="V1084" s="121"/>
      <c r="W1084" s="121"/>
      <c r="X1084" s="121"/>
      <c r="Y1084" s="121"/>
      <c r="Z1084" s="121"/>
      <c r="AA1084" s="121"/>
      <c r="AB1084" s="121"/>
    </row>
    <row r="1085" spans="2:29" ht="13.5" customHeight="1">
      <c r="B1085" s="98" t="str">
        <f>CONCATENATE("- Nr Dias: ",INFO!$C$20)</f>
        <v>- Nr Dias: 33</v>
      </c>
      <c r="C1085" s="121"/>
      <c r="D1085" s="121"/>
      <c r="E1085" s="121"/>
      <c r="F1085" s="121"/>
      <c r="G1085" s="121"/>
      <c r="H1085" s="121"/>
      <c r="I1085" s="121"/>
      <c r="J1085" s="121"/>
      <c r="K1085" s="121"/>
      <c r="L1085" s="121"/>
      <c r="M1085" s="121"/>
      <c r="N1085" s="121"/>
      <c r="O1085" s="121"/>
      <c r="P1085" s="121"/>
      <c r="Q1085" s="121"/>
      <c r="R1085" s="121"/>
      <c r="S1085" s="121"/>
      <c r="T1085" s="121"/>
      <c r="U1085" s="121"/>
      <c r="V1085" s="121"/>
      <c r="W1085" s="121"/>
      <c r="X1085" s="121"/>
      <c r="Y1085" s="121"/>
      <c r="Z1085" s="121"/>
      <c r="AA1085" s="121"/>
      <c r="AB1085" s="121"/>
    </row>
    <row r="1086" spans="2:29" ht="13.5" customHeight="1">
      <c r="B1086" s="98" t="e">
        <f>CONCATENATE("- Valor Estimado: R$ ",INDEX(QSGR!$J$16:$J$11170,AC1079))</f>
        <v>#N/A</v>
      </c>
      <c r="C1086" s="121"/>
      <c r="D1086" s="121"/>
      <c r="E1086" s="121"/>
      <c r="F1086" s="121"/>
      <c r="G1086" s="121"/>
      <c r="H1086" s="121"/>
      <c r="I1086" s="121"/>
      <c r="J1086" s="121"/>
      <c r="K1086" s="121"/>
      <c r="L1086" s="121"/>
      <c r="M1086" s="121"/>
      <c r="N1086" s="121"/>
      <c r="O1086" s="121"/>
      <c r="P1086" s="121"/>
      <c r="Q1086" s="121"/>
      <c r="R1086" s="121"/>
      <c r="S1086" s="121"/>
      <c r="T1086" s="121"/>
      <c r="U1086" s="121"/>
      <c r="V1086" s="121"/>
      <c r="W1086" s="121"/>
      <c r="X1086" s="121"/>
      <c r="Y1086" s="121"/>
      <c r="Z1086" s="121"/>
      <c r="AA1086" s="121"/>
      <c r="AB1086" s="121"/>
    </row>
    <row r="1087" spans="2:29" ht="13.5" customHeight="1">
      <c r="B1087" s="100"/>
      <c r="C1087" s="121"/>
      <c r="D1087" s="121"/>
      <c r="E1087" s="121"/>
      <c r="F1087" s="121"/>
      <c r="G1087" s="121"/>
      <c r="H1087" s="121"/>
      <c r="I1087" s="121"/>
      <c r="J1087" s="121"/>
      <c r="K1087" s="121"/>
      <c r="L1087" s="121"/>
      <c r="M1087" s="121"/>
      <c r="N1087" s="121"/>
      <c r="O1087" s="121"/>
      <c r="P1087" s="121"/>
      <c r="Q1087" s="121"/>
      <c r="R1087" s="121"/>
      <c r="S1087" s="121"/>
      <c r="T1087" s="121"/>
      <c r="U1087" s="121"/>
      <c r="V1087" s="121"/>
      <c r="W1087" s="121"/>
      <c r="X1087" s="121"/>
      <c r="Y1087" s="121"/>
      <c r="Z1087" s="121"/>
      <c r="AA1087" s="121"/>
      <c r="AB1087" s="121"/>
    </row>
    <row r="1088" spans="2:29" ht="13.5" customHeight="1">
      <c r="B1088" s="98" t="s">
        <v>55</v>
      </c>
      <c r="C1088" s="121"/>
      <c r="D1088" s="121"/>
      <c r="E1088" s="121"/>
      <c r="F1088" s="121"/>
      <c r="G1088" s="121"/>
      <c r="H1088" s="121"/>
      <c r="I1088" s="121"/>
      <c r="J1088" s="121"/>
      <c r="K1088" s="121"/>
      <c r="L1088" s="121"/>
      <c r="M1088" s="121"/>
      <c r="N1088" s="121"/>
      <c r="O1088" s="121"/>
      <c r="P1088" s="121"/>
      <c r="Q1088" s="121"/>
      <c r="R1088" s="121"/>
      <c r="S1088" s="121"/>
      <c r="T1088" s="121"/>
      <c r="U1088" s="121"/>
      <c r="V1088" s="121"/>
      <c r="W1088" s="121"/>
      <c r="X1088" s="121"/>
      <c r="Y1088" s="121"/>
      <c r="Z1088" s="121"/>
      <c r="AA1088" s="121"/>
      <c r="AB1088" s="121"/>
      <c r="AC1088" s="37">
        <f>AC1079+1</f>
        <v>121</v>
      </c>
    </row>
    <row r="1089" spans="2:29" ht="13.5" customHeight="1">
      <c r="B1089" s="99">
        <f>INDEX(QSGR!$B$16:$B$1570,AC1088)</f>
        <v>0</v>
      </c>
      <c r="C1089" s="121"/>
      <c r="D1089" s="121"/>
      <c r="E1089" s="97">
        <f>INDEX(QSGR!$D$16:$D$11170,AC1088)</f>
        <v>0</v>
      </c>
      <c r="F1089" s="121"/>
      <c r="G1089" s="121"/>
      <c r="H1089" s="121"/>
      <c r="I1089" s="121"/>
      <c r="J1089" s="121"/>
      <c r="K1089" s="121"/>
      <c r="L1089" s="121"/>
      <c r="M1089" s="121"/>
      <c r="N1089" s="121"/>
      <c r="O1089" s="121"/>
      <c r="P1089" s="121"/>
      <c r="Q1089" s="121"/>
      <c r="R1089" s="121"/>
      <c r="S1089" s="121"/>
      <c r="T1089" s="121"/>
      <c r="U1089" s="121"/>
      <c r="V1089" s="121"/>
      <c r="W1089" s="121"/>
      <c r="X1089" s="121"/>
      <c r="Y1089" s="121"/>
      <c r="Z1089" s="121"/>
      <c r="AA1089" s="121"/>
      <c r="AB1089" s="121"/>
    </row>
    <row r="1090" spans="2:29" ht="13.5" customHeight="1">
      <c r="B1090" s="96" t="str">
        <f>CONCATENATE("- Evento: ",INFO!$B$22)</f>
        <v>- Evento: PARTICIPAR DA OPERAÇÃO HORUS.</v>
      </c>
      <c r="C1090" s="121"/>
      <c r="D1090" s="121"/>
      <c r="E1090" s="121"/>
      <c r="F1090" s="121"/>
      <c r="G1090" s="121"/>
      <c r="H1090" s="121"/>
      <c r="I1090" s="121"/>
      <c r="J1090" s="121"/>
      <c r="K1090" s="121"/>
      <c r="L1090" s="121"/>
      <c r="M1090" s="121"/>
      <c r="N1090" s="121"/>
      <c r="O1090" s="121"/>
      <c r="P1090" s="121"/>
      <c r="Q1090" s="121"/>
      <c r="R1090" s="121"/>
      <c r="S1090" s="121"/>
      <c r="T1090" s="121"/>
      <c r="U1090" s="121"/>
      <c r="V1090" s="121"/>
      <c r="W1090" s="121"/>
      <c r="X1090" s="121"/>
      <c r="Y1090" s="121"/>
      <c r="Z1090" s="121"/>
      <c r="AA1090" s="121"/>
      <c r="AB1090" s="121"/>
    </row>
    <row r="1091" spans="2:29" ht="13.5" customHeight="1">
      <c r="B1091" s="98" t="str">
        <f>CONCATENATE("- Documento de Solicitação: ",INFO!$B$24)</f>
        <v>- Documento de Solicitação: TESTE AZUL</v>
      </c>
      <c r="C1091" s="121"/>
      <c r="D1091" s="121"/>
      <c r="E1091" s="121"/>
      <c r="F1091" s="121"/>
      <c r="G1091" s="121"/>
      <c r="H1091" s="121"/>
      <c r="I1091" s="121"/>
      <c r="J1091" s="121"/>
      <c r="K1091" s="121"/>
      <c r="L1091" s="121"/>
      <c r="M1091" s="121"/>
      <c r="N1091" s="121"/>
      <c r="O1091" s="121"/>
      <c r="P1091" s="121"/>
      <c r="Q1091" s="121"/>
      <c r="R1091" s="121"/>
      <c r="S1091" s="121"/>
      <c r="T1091" s="121"/>
      <c r="U1091" s="121"/>
      <c r="V1091" s="121"/>
      <c r="W1091" s="121"/>
      <c r="X1091" s="121"/>
      <c r="Y1091" s="121"/>
      <c r="Z1091" s="121"/>
      <c r="AA1091" s="121"/>
      <c r="AB1091" s="121"/>
    </row>
    <row r="1092" spans="2:29" ht="13.5" customHeight="1">
      <c r="B1092" s="98" t="str">
        <f>CONCATENATE("- Local: ",INFO!$C$18)</f>
        <v>- Local: GUAIRA - PR</v>
      </c>
      <c r="C1092" s="121"/>
      <c r="D1092" s="121"/>
      <c r="E1092" s="121"/>
      <c r="F1092" s="121"/>
      <c r="G1092" s="121"/>
      <c r="H1092" s="121"/>
      <c r="I1092" s="121"/>
      <c r="J1092" s="121"/>
      <c r="K1092" s="121"/>
      <c r="L1092" s="121"/>
      <c r="M1092" s="121"/>
      <c r="N1092" s="121"/>
      <c r="O1092" s="121"/>
      <c r="P1092" s="121"/>
      <c r="Q1092" s="121"/>
      <c r="R1092" s="121"/>
      <c r="S1092" s="121"/>
      <c r="T1092" s="121"/>
      <c r="U1092" s="121"/>
      <c r="V1092" s="121"/>
      <c r="W1092" s="121"/>
      <c r="X1092" s="121"/>
      <c r="Y1092" s="121"/>
      <c r="Z1092" s="121"/>
      <c r="AA1092" s="121"/>
      <c r="AB1092" s="121"/>
    </row>
    <row r="1093" spans="2:29" ht="13.5" customHeight="1">
      <c r="B1093" s="98" t="str">
        <f>CONCATENATE("- Periodo: ",INFO!$C$10," a ",INFO!$C$19)</f>
        <v xml:space="preserve">- Periodo: 22/7/2025  a 23/8/2025 </v>
      </c>
      <c r="C1093" s="121"/>
      <c r="D1093" s="121"/>
      <c r="E1093" s="121"/>
      <c r="F1093" s="121"/>
      <c r="G1093" s="121"/>
      <c r="H1093" s="121"/>
      <c r="I1093" s="121"/>
      <c r="J1093" s="121"/>
      <c r="K1093" s="121"/>
      <c r="L1093" s="121"/>
      <c r="M1093" s="121"/>
      <c r="N1093" s="121"/>
      <c r="O1093" s="121"/>
      <c r="P1093" s="121"/>
      <c r="Q1093" s="121"/>
      <c r="R1093" s="121"/>
      <c r="S1093" s="121"/>
      <c r="T1093" s="121"/>
      <c r="U1093" s="121"/>
      <c r="V1093" s="121"/>
      <c r="W1093" s="121"/>
      <c r="X1093" s="121"/>
      <c r="Y1093" s="121"/>
      <c r="Z1093" s="121"/>
      <c r="AA1093" s="121"/>
      <c r="AB1093" s="121"/>
    </row>
    <row r="1094" spans="2:29" ht="13.5" customHeight="1">
      <c r="B1094" s="98" t="str">
        <f>CONCATENATE("- Nr Dias: ",INFO!$C$20)</f>
        <v>- Nr Dias: 33</v>
      </c>
      <c r="C1094" s="121"/>
      <c r="D1094" s="121"/>
      <c r="E1094" s="121"/>
      <c r="F1094" s="121"/>
      <c r="G1094" s="121"/>
      <c r="H1094" s="121"/>
      <c r="I1094" s="121"/>
      <c r="J1094" s="121"/>
      <c r="K1094" s="121"/>
      <c r="L1094" s="121"/>
      <c r="M1094" s="121"/>
      <c r="N1094" s="121"/>
      <c r="O1094" s="121"/>
      <c r="P1094" s="121"/>
      <c r="Q1094" s="121"/>
      <c r="R1094" s="121"/>
      <c r="S1094" s="121"/>
      <c r="T1094" s="121"/>
      <c r="U1094" s="121"/>
      <c r="V1094" s="121"/>
      <c r="W1094" s="121"/>
      <c r="X1094" s="121"/>
      <c r="Y1094" s="121"/>
      <c r="Z1094" s="121"/>
      <c r="AA1094" s="121"/>
      <c r="AB1094" s="121"/>
    </row>
    <row r="1095" spans="2:29" ht="13.5" customHeight="1">
      <c r="B1095" s="98" t="e">
        <f>CONCATENATE("- Valor Estimado: R$ ",INDEX(QSGR!$J$16:$J$11170,AC1088))</f>
        <v>#N/A</v>
      </c>
      <c r="C1095" s="121"/>
      <c r="D1095" s="121"/>
      <c r="E1095" s="121"/>
      <c r="F1095" s="121"/>
      <c r="G1095" s="121"/>
      <c r="H1095" s="121"/>
      <c r="I1095" s="121"/>
      <c r="J1095" s="121"/>
      <c r="K1095" s="121"/>
      <c r="L1095" s="121"/>
      <c r="M1095" s="121"/>
      <c r="N1095" s="121"/>
      <c r="O1095" s="121"/>
      <c r="P1095" s="121"/>
      <c r="Q1095" s="121"/>
      <c r="R1095" s="121"/>
      <c r="S1095" s="121"/>
      <c r="T1095" s="121"/>
      <c r="U1095" s="121"/>
      <c r="V1095" s="121"/>
      <c r="W1095" s="121"/>
      <c r="X1095" s="121"/>
      <c r="Y1095" s="121"/>
      <c r="Z1095" s="121"/>
      <c r="AA1095" s="121"/>
      <c r="AB1095" s="121"/>
    </row>
    <row r="1096" spans="2:29" ht="13.5" customHeight="1">
      <c r="B1096" s="100"/>
      <c r="C1096" s="121"/>
      <c r="D1096" s="121"/>
      <c r="E1096" s="121"/>
      <c r="F1096" s="121"/>
      <c r="G1096" s="121"/>
      <c r="H1096" s="121"/>
      <c r="I1096" s="121"/>
      <c r="J1096" s="121"/>
      <c r="K1096" s="121"/>
      <c r="L1096" s="121"/>
      <c r="M1096" s="121"/>
      <c r="N1096" s="121"/>
      <c r="O1096" s="121"/>
      <c r="P1096" s="121"/>
      <c r="Q1096" s="121"/>
      <c r="R1096" s="121"/>
      <c r="S1096" s="121"/>
      <c r="T1096" s="121"/>
      <c r="U1096" s="121"/>
      <c r="V1096" s="121"/>
      <c r="W1096" s="121"/>
      <c r="X1096" s="121"/>
      <c r="Y1096" s="121"/>
      <c r="Z1096" s="121"/>
      <c r="AA1096" s="121"/>
      <c r="AB1096" s="121"/>
    </row>
    <row r="1097" spans="2:29" ht="13.5" customHeight="1">
      <c r="B1097" s="98" t="s">
        <v>55</v>
      </c>
      <c r="C1097" s="121"/>
      <c r="D1097" s="121"/>
      <c r="E1097" s="121"/>
      <c r="F1097" s="121"/>
      <c r="G1097" s="121"/>
      <c r="H1097" s="121"/>
      <c r="I1097" s="121"/>
      <c r="J1097" s="121"/>
      <c r="K1097" s="121"/>
      <c r="L1097" s="121"/>
      <c r="M1097" s="121"/>
      <c r="N1097" s="121"/>
      <c r="O1097" s="121"/>
      <c r="P1097" s="121"/>
      <c r="Q1097" s="121"/>
      <c r="R1097" s="121"/>
      <c r="S1097" s="121"/>
      <c r="T1097" s="121"/>
      <c r="U1097" s="121"/>
      <c r="V1097" s="121"/>
      <c r="W1097" s="121"/>
      <c r="X1097" s="121"/>
      <c r="Y1097" s="121"/>
      <c r="Z1097" s="121"/>
      <c r="AA1097" s="121"/>
      <c r="AB1097" s="121"/>
      <c r="AC1097" s="37">
        <f>AC1088+1</f>
        <v>122</v>
      </c>
    </row>
    <row r="1098" spans="2:29" ht="13.5" customHeight="1">
      <c r="B1098" s="99">
        <f>INDEX(QSGR!$B$16:$B$1570,AC1097)</f>
        <v>0</v>
      </c>
      <c r="C1098" s="121"/>
      <c r="D1098" s="121"/>
      <c r="E1098" s="97">
        <f>INDEX(QSGR!$D$16:$D$11170,AC1097)</f>
        <v>0</v>
      </c>
      <c r="F1098" s="121"/>
      <c r="G1098" s="121"/>
      <c r="H1098" s="121"/>
      <c r="I1098" s="121"/>
      <c r="J1098" s="121"/>
      <c r="K1098" s="121"/>
      <c r="L1098" s="121"/>
      <c r="M1098" s="121"/>
      <c r="N1098" s="121"/>
      <c r="O1098" s="121"/>
      <c r="P1098" s="121"/>
      <c r="Q1098" s="121"/>
      <c r="R1098" s="121"/>
      <c r="S1098" s="121"/>
      <c r="T1098" s="121"/>
      <c r="U1098" s="121"/>
      <c r="V1098" s="121"/>
      <c r="W1098" s="121"/>
      <c r="X1098" s="121"/>
      <c r="Y1098" s="121"/>
      <c r="Z1098" s="121"/>
      <c r="AA1098" s="121"/>
      <c r="AB1098" s="121"/>
    </row>
    <row r="1099" spans="2:29" ht="13.5" customHeight="1">
      <c r="B1099" s="96" t="str">
        <f>CONCATENATE("- Evento: ",INFO!$B$22)</f>
        <v>- Evento: PARTICIPAR DA OPERAÇÃO HORUS.</v>
      </c>
      <c r="C1099" s="121"/>
      <c r="D1099" s="121"/>
      <c r="E1099" s="121"/>
      <c r="F1099" s="121"/>
      <c r="G1099" s="121"/>
      <c r="H1099" s="121"/>
      <c r="I1099" s="121"/>
      <c r="J1099" s="121"/>
      <c r="K1099" s="121"/>
      <c r="L1099" s="121"/>
      <c r="M1099" s="121"/>
      <c r="N1099" s="121"/>
      <c r="O1099" s="121"/>
      <c r="P1099" s="121"/>
      <c r="Q1099" s="121"/>
      <c r="R1099" s="121"/>
      <c r="S1099" s="121"/>
      <c r="T1099" s="121"/>
      <c r="U1099" s="121"/>
      <c r="V1099" s="121"/>
      <c r="W1099" s="121"/>
      <c r="X1099" s="121"/>
      <c r="Y1099" s="121"/>
      <c r="Z1099" s="121"/>
      <c r="AA1099" s="121"/>
      <c r="AB1099" s="121"/>
    </row>
    <row r="1100" spans="2:29" ht="13.5" customHeight="1">
      <c r="B1100" s="98" t="str">
        <f>CONCATENATE("- Documento de Solicitação: ",INFO!$B$24)</f>
        <v>- Documento de Solicitação: TESTE AZUL</v>
      </c>
      <c r="C1100" s="121"/>
      <c r="D1100" s="121"/>
      <c r="E1100" s="121"/>
      <c r="F1100" s="121"/>
      <c r="G1100" s="121"/>
      <c r="H1100" s="121"/>
      <c r="I1100" s="121"/>
      <c r="J1100" s="121"/>
      <c r="K1100" s="121"/>
      <c r="L1100" s="121"/>
      <c r="M1100" s="121"/>
      <c r="N1100" s="121"/>
      <c r="O1100" s="121"/>
      <c r="P1100" s="121"/>
      <c r="Q1100" s="121"/>
      <c r="R1100" s="121"/>
      <c r="S1100" s="121"/>
      <c r="T1100" s="121"/>
      <c r="U1100" s="121"/>
      <c r="V1100" s="121"/>
      <c r="W1100" s="121"/>
      <c r="X1100" s="121"/>
      <c r="Y1100" s="121"/>
      <c r="Z1100" s="121"/>
      <c r="AA1100" s="121"/>
      <c r="AB1100" s="121"/>
    </row>
    <row r="1101" spans="2:29" ht="13.5" customHeight="1">
      <c r="B1101" s="98" t="str">
        <f>CONCATENATE("- Local: ",INFO!$C$18)</f>
        <v>- Local: GUAIRA - PR</v>
      </c>
      <c r="C1101" s="121"/>
      <c r="D1101" s="121"/>
      <c r="E1101" s="121"/>
      <c r="F1101" s="121"/>
      <c r="G1101" s="121"/>
      <c r="H1101" s="121"/>
      <c r="I1101" s="121"/>
      <c r="J1101" s="121"/>
      <c r="K1101" s="121"/>
      <c r="L1101" s="121"/>
      <c r="M1101" s="121"/>
      <c r="N1101" s="121"/>
      <c r="O1101" s="121"/>
      <c r="P1101" s="121"/>
      <c r="Q1101" s="121"/>
      <c r="R1101" s="121"/>
      <c r="S1101" s="121"/>
      <c r="T1101" s="121"/>
      <c r="U1101" s="121"/>
      <c r="V1101" s="121"/>
      <c r="W1101" s="121"/>
      <c r="X1101" s="121"/>
      <c r="Y1101" s="121"/>
      <c r="Z1101" s="121"/>
      <c r="AA1101" s="121"/>
      <c r="AB1101" s="121"/>
    </row>
    <row r="1102" spans="2:29" ht="13.5" customHeight="1">
      <c r="B1102" s="98" t="str">
        <f>CONCATENATE("- Periodo: ",INFO!$C$10," a ",INFO!$C$19)</f>
        <v xml:space="preserve">- Periodo: 22/7/2025  a 23/8/2025 </v>
      </c>
      <c r="C1102" s="121"/>
      <c r="D1102" s="121"/>
      <c r="E1102" s="121"/>
      <c r="F1102" s="121"/>
      <c r="G1102" s="121"/>
      <c r="H1102" s="121"/>
      <c r="I1102" s="121"/>
      <c r="J1102" s="121"/>
      <c r="K1102" s="121"/>
      <c r="L1102" s="121"/>
      <c r="M1102" s="121"/>
      <c r="N1102" s="121"/>
      <c r="O1102" s="121"/>
      <c r="P1102" s="121"/>
      <c r="Q1102" s="121"/>
      <c r="R1102" s="121"/>
      <c r="S1102" s="121"/>
      <c r="T1102" s="121"/>
      <c r="U1102" s="121"/>
      <c r="V1102" s="121"/>
      <c r="W1102" s="121"/>
      <c r="X1102" s="121"/>
      <c r="Y1102" s="121"/>
      <c r="Z1102" s="121"/>
      <c r="AA1102" s="121"/>
      <c r="AB1102" s="121"/>
    </row>
    <row r="1103" spans="2:29" ht="13.5" customHeight="1">
      <c r="B1103" s="98" t="str">
        <f>CONCATENATE("- Nr Dias: ",INFO!$C$20)</f>
        <v>- Nr Dias: 33</v>
      </c>
      <c r="C1103" s="121"/>
      <c r="D1103" s="121"/>
      <c r="E1103" s="121"/>
      <c r="F1103" s="121"/>
      <c r="G1103" s="121"/>
      <c r="H1103" s="121"/>
      <c r="I1103" s="121"/>
      <c r="J1103" s="121"/>
      <c r="K1103" s="121"/>
      <c r="L1103" s="121"/>
      <c r="M1103" s="121"/>
      <c r="N1103" s="121"/>
      <c r="O1103" s="121"/>
      <c r="P1103" s="121"/>
      <c r="Q1103" s="121"/>
      <c r="R1103" s="121"/>
      <c r="S1103" s="121"/>
      <c r="T1103" s="121"/>
      <c r="U1103" s="121"/>
      <c r="V1103" s="121"/>
      <c r="W1103" s="121"/>
      <c r="X1103" s="121"/>
      <c r="Y1103" s="121"/>
      <c r="Z1103" s="121"/>
      <c r="AA1103" s="121"/>
      <c r="AB1103" s="121"/>
    </row>
    <row r="1104" spans="2:29" ht="13.5" customHeight="1">
      <c r="B1104" s="98" t="e">
        <f>CONCATENATE("- Valor Estimado: R$ ",INDEX(QSGR!$J$16:$J$11170,AC1097))</f>
        <v>#N/A</v>
      </c>
      <c r="C1104" s="121"/>
      <c r="D1104" s="121"/>
      <c r="E1104" s="121"/>
      <c r="F1104" s="121"/>
      <c r="G1104" s="121"/>
      <c r="H1104" s="121"/>
      <c r="I1104" s="121"/>
      <c r="J1104" s="121"/>
      <c r="K1104" s="121"/>
      <c r="L1104" s="121"/>
      <c r="M1104" s="121"/>
      <c r="N1104" s="121"/>
      <c r="O1104" s="121"/>
      <c r="P1104" s="121"/>
      <c r="Q1104" s="121"/>
      <c r="R1104" s="121"/>
      <c r="S1104" s="121"/>
      <c r="T1104" s="121"/>
      <c r="U1104" s="121"/>
      <c r="V1104" s="121"/>
      <c r="W1104" s="121"/>
      <c r="X1104" s="121"/>
      <c r="Y1104" s="121"/>
      <c r="Z1104" s="121"/>
      <c r="AA1104" s="121"/>
      <c r="AB1104" s="121"/>
    </row>
    <row r="1105" spans="2:29" ht="13.5" customHeight="1">
      <c r="B1105" s="100"/>
      <c r="C1105" s="121"/>
      <c r="D1105" s="121"/>
      <c r="E1105" s="121"/>
      <c r="F1105" s="121"/>
      <c r="G1105" s="121"/>
      <c r="H1105" s="121"/>
      <c r="I1105" s="121"/>
      <c r="J1105" s="121"/>
      <c r="K1105" s="121"/>
      <c r="L1105" s="121"/>
      <c r="M1105" s="121"/>
      <c r="N1105" s="121"/>
      <c r="O1105" s="121"/>
      <c r="P1105" s="121"/>
      <c r="Q1105" s="121"/>
      <c r="R1105" s="121"/>
      <c r="S1105" s="121"/>
      <c r="T1105" s="121"/>
      <c r="U1105" s="121"/>
      <c r="V1105" s="121"/>
      <c r="W1105" s="121"/>
      <c r="X1105" s="121"/>
      <c r="Y1105" s="121"/>
      <c r="Z1105" s="121"/>
      <c r="AA1105" s="121"/>
      <c r="AB1105" s="121"/>
    </row>
    <row r="1106" spans="2:29" ht="13.5" customHeight="1">
      <c r="B1106" s="98" t="s">
        <v>55</v>
      </c>
      <c r="C1106" s="121"/>
      <c r="D1106" s="121"/>
      <c r="E1106" s="121"/>
      <c r="F1106" s="121"/>
      <c r="G1106" s="121"/>
      <c r="H1106" s="121"/>
      <c r="I1106" s="121"/>
      <c r="J1106" s="121"/>
      <c r="K1106" s="121"/>
      <c r="L1106" s="121"/>
      <c r="M1106" s="121"/>
      <c r="N1106" s="121"/>
      <c r="O1106" s="121"/>
      <c r="P1106" s="121"/>
      <c r="Q1106" s="121"/>
      <c r="R1106" s="121"/>
      <c r="S1106" s="121"/>
      <c r="T1106" s="121"/>
      <c r="U1106" s="121"/>
      <c r="V1106" s="121"/>
      <c r="W1106" s="121"/>
      <c r="X1106" s="121"/>
      <c r="Y1106" s="121"/>
      <c r="Z1106" s="121"/>
      <c r="AA1106" s="121"/>
      <c r="AB1106" s="121"/>
      <c r="AC1106" s="37">
        <f>AC1097+1</f>
        <v>123</v>
      </c>
    </row>
    <row r="1107" spans="2:29" ht="13.5" customHeight="1">
      <c r="B1107" s="99">
        <f>INDEX(QSGR!$B$16:$B$1570,AC1106)</f>
        <v>0</v>
      </c>
      <c r="C1107" s="121"/>
      <c r="D1107" s="121"/>
      <c r="E1107" s="97">
        <f>INDEX(QSGR!$D$16:$D$11170,AC1106)</f>
        <v>0</v>
      </c>
      <c r="F1107" s="121"/>
      <c r="G1107" s="121"/>
      <c r="H1107" s="121"/>
      <c r="I1107" s="121"/>
      <c r="J1107" s="121"/>
      <c r="K1107" s="121"/>
      <c r="L1107" s="121"/>
      <c r="M1107" s="121"/>
      <c r="N1107" s="121"/>
      <c r="O1107" s="121"/>
      <c r="P1107" s="121"/>
      <c r="Q1107" s="121"/>
      <c r="R1107" s="121"/>
      <c r="S1107" s="121"/>
      <c r="T1107" s="121"/>
      <c r="U1107" s="121"/>
      <c r="V1107" s="121"/>
      <c r="W1107" s="121"/>
      <c r="X1107" s="121"/>
      <c r="Y1107" s="121"/>
      <c r="Z1107" s="121"/>
      <c r="AA1107" s="121"/>
      <c r="AB1107" s="121"/>
    </row>
    <row r="1108" spans="2:29" ht="13.5" customHeight="1">
      <c r="B1108" s="96" t="str">
        <f>CONCATENATE("- Evento: ",INFO!$B$22)</f>
        <v>- Evento: PARTICIPAR DA OPERAÇÃO HORUS.</v>
      </c>
      <c r="C1108" s="121"/>
      <c r="D1108" s="121"/>
      <c r="E1108" s="121"/>
      <c r="F1108" s="121"/>
      <c r="G1108" s="121"/>
      <c r="H1108" s="121"/>
      <c r="I1108" s="121"/>
      <c r="J1108" s="121"/>
      <c r="K1108" s="121"/>
      <c r="L1108" s="121"/>
      <c r="M1108" s="121"/>
      <c r="N1108" s="121"/>
      <c r="O1108" s="121"/>
      <c r="P1108" s="121"/>
      <c r="Q1108" s="121"/>
      <c r="R1108" s="121"/>
      <c r="S1108" s="121"/>
      <c r="T1108" s="121"/>
      <c r="U1108" s="121"/>
      <c r="V1108" s="121"/>
      <c r="W1108" s="121"/>
      <c r="X1108" s="121"/>
      <c r="Y1108" s="121"/>
      <c r="Z1108" s="121"/>
      <c r="AA1108" s="121"/>
      <c r="AB1108" s="121"/>
    </row>
    <row r="1109" spans="2:29" ht="13.5" customHeight="1">
      <c r="B1109" s="98" t="str">
        <f>CONCATENATE("- Documento de Solicitação: ",INFO!$B$24)</f>
        <v>- Documento de Solicitação: TESTE AZUL</v>
      </c>
      <c r="C1109" s="121"/>
      <c r="D1109" s="121"/>
      <c r="E1109" s="121"/>
      <c r="F1109" s="121"/>
      <c r="G1109" s="121"/>
      <c r="H1109" s="121"/>
      <c r="I1109" s="121"/>
      <c r="J1109" s="121"/>
      <c r="K1109" s="121"/>
      <c r="L1109" s="121"/>
      <c r="M1109" s="121"/>
      <c r="N1109" s="121"/>
      <c r="O1109" s="121"/>
      <c r="P1109" s="121"/>
      <c r="Q1109" s="121"/>
      <c r="R1109" s="121"/>
      <c r="S1109" s="121"/>
      <c r="T1109" s="121"/>
      <c r="U1109" s="121"/>
      <c r="V1109" s="121"/>
      <c r="W1109" s="121"/>
      <c r="X1109" s="121"/>
      <c r="Y1109" s="121"/>
      <c r="Z1109" s="121"/>
      <c r="AA1109" s="121"/>
      <c r="AB1109" s="121"/>
    </row>
    <row r="1110" spans="2:29" ht="13.5" customHeight="1">
      <c r="B1110" s="98" t="str">
        <f>CONCATENATE("- Local: ",INFO!$C$18)</f>
        <v>- Local: GUAIRA - PR</v>
      </c>
      <c r="C1110" s="121"/>
      <c r="D1110" s="121"/>
      <c r="E1110" s="121"/>
      <c r="F1110" s="121"/>
      <c r="G1110" s="121"/>
      <c r="H1110" s="121"/>
      <c r="I1110" s="121"/>
      <c r="J1110" s="121"/>
      <c r="K1110" s="121"/>
      <c r="L1110" s="121"/>
      <c r="M1110" s="121"/>
      <c r="N1110" s="121"/>
      <c r="O1110" s="121"/>
      <c r="P1110" s="121"/>
      <c r="Q1110" s="121"/>
      <c r="R1110" s="121"/>
      <c r="S1110" s="121"/>
      <c r="T1110" s="121"/>
      <c r="U1110" s="121"/>
      <c r="V1110" s="121"/>
      <c r="W1110" s="121"/>
      <c r="X1110" s="121"/>
      <c r="Y1110" s="121"/>
      <c r="Z1110" s="121"/>
      <c r="AA1110" s="121"/>
      <c r="AB1110" s="121"/>
    </row>
    <row r="1111" spans="2:29" ht="13.5" customHeight="1">
      <c r="B1111" s="98" t="str">
        <f>CONCATENATE("- Periodo: ",INFO!$C$10," a ",INFO!$C$19)</f>
        <v xml:space="preserve">- Periodo: 22/7/2025  a 23/8/2025 </v>
      </c>
      <c r="C1111" s="121"/>
      <c r="D1111" s="121"/>
      <c r="E1111" s="121"/>
      <c r="F1111" s="121"/>
      <c r="G1111" s="121"/>
      <c r="H1111" s="121"/>
      <c r="I1111" s="121"/>
      <c r="J1111" s="121"/>
      <c r="K1111" s="121"/>
      <c r="L1111" s="121"/>
      <c r="M1111" s="121"/>
      <c r="N1111" s="121"/>
      <c r="O1111" s="121"/>
      <c r="P1111" s="121"/>
      <c r="Q1111" s="121"/>
      <c r="R1111" s="121"/>
      <c r="S1111" s="121"/>
      <c r="T1111" s="121"/>
      <c r="U1111" s="121"/>
      <c r="V1111" s="121"/>
      <c r="W1111" s="121"/>
      <c r="X1111" s="121"/>
      <c r="Y1111" s="121"/>
      <c r="Z1111" s="121"/>
      <c r="AA1111" s="121"/>
      <c r="AB1111" s="121"/>
    </row>
    <row r="1112" spans="2:29" ht="13.5" customHeight="1">
      <c r="B1112" s="98" t="str">
        <f>CONCATENATE("- Nr Dias: ",INFO!$C$20)</f>
        <v>- Nr Dias: 33</v>
      </c>
      <c r="C1112" s="121"/>
      <c r="D1112" s="121"/>
      <c r="E1112" s="121"/>
      <c r="F1112" s="121"/>
      <c r="G1112" s="121"/>
      <c r="H1112" s="121"/>
      <c r="I1112" s="121"/>
      <c r="J1112" s="121"/>
      <c r="K1112" s="121"/>
      <c r="L1112" s="121"/>
      <c r="M1112" s="121"/>
      <c r="N1112" s="121"/>
      <c r="O1112" s="121"/>
      <c r="P1112" s="121"/>
      <c r="Q1112" s="121"/>
      <c r="R1112" s="121"/>
      <c r="S1112" s="121"/>
      <c r="T1112" s="121"/>
      <c r="U1112" s="121"/>
      <c r="V1112" s="121"/>
      <c r="W1112" s="121"/>
      <c r="X1112" s="121"/>
      <c r="Y1112" s="121"/>
      <c r="Z1112" s="121"/>
      <c r="AA1112" s="121"/>
      <c r="AB1112" s="121"/>
    </row>
    <row r="1113" spans="2:29" ht="13.5" customHeight="1">
      <c r="B1113" s="98" t="e">
        <f>CONCATENATE("- Valor Estimado: R$ ",INDEX(QSGR!$J$16:$J$11170,AC1106))</f>
        <v>#N/A</v>
      </c>
      <c r="C1113" s="121"/>
      <c r="D1113" s="121"/>
      <c r="E1113" s="121"/>
      <c r="F1113" s="121"/>
      <c r="G1113" s="121"/>
      <c r="H1113" s="121"/>
      <c r="I1113" s="121"/>
      <c r="J1113" s="121"/>
      <c r="K1113" s="121"/>
      <c r="L1113" s="121"/>
      <c r="M1113" s="121"/>
      <c r="N1113" s="121"/>
      <c r="O1113" s="121"/>
      <c r="P1113" s="121"/>
      <c r="Q1113" s="121"/>
      <c r="R1113" s="121"/>
      <c r="S1113" s="121"/>
      <c r="T1113" s="121"/>
      <c r="U1113" s="121"/>
      <c r="V1113" s="121"/>
      <c r="W1113" s="121"/>
      <c r="X1113" s="121"/>
      <c r="Y1113" s="121"/>
      <c r="Z1113" s="121"/>
      <c r="AA1113" s="121"/>
      <c r="AB1113" s="121"/>
    </row>
    <row r="1114" spans="2:29" ht="13.5" customHeight="1">
      <c r="B1114" s="100"/>
      <c r="C1114" s="121"/>
      <c r="D1114" s="121"/>
      <c r="E1114" s="121"/>
      <c r="F1114" s="121"/>
      <c r="G1114" s="121"/>
      <c r="H1114" s="121"/>
      <c r="I1114" s="121"/>
      <c r="J1114" s="121"/>
      <c r="K1114" s="121"/>
      <c r="L1114" s="121"/>
      <c r="M1114" s="121"/>
      <c r="N1114" s="121"/>
      <c r="O1114" s="121"/>
      <c r="P1114" s="121"/>
      <c r="Q1114" s="121"/>
      <c r="R1114" s="121"/>
      <c r="S1114" s="121"/>
      <c r="T1114" s="121"/>
      <c r="U1114" s="121"/>
      <c r="V1114" s="121"/>
      <c r="W1114" s="121"/>
      <c r="X1114" s="121"/>
      <c r="Y1114" s="121"/>
      <c r="Z1114" s="121"/>
      <c r="AA1114" s="121"/>
      <c r="AB1114" s="121"/>
    </row>
    <row r="1115" spans="2:29" ht="13.5" customHeight="1">
      <c r="B1115" s="98" t="s">
        <v>55</v>
      </c>
      <c r="C1115" s="121"/>
      <c r="D1115" s="121"/>
      <c r="E1115" s="121"/>
      <c r="F1115" s="121"/>
      <c r="G1115" s="121"/>
      <c r="H1115" s="121"/>
      <c r="I1115" s="121"/>
      <c r="J1115" s="121"/>
      <c r="K1115" s="121"/>
      <c r="L1115" s="121"/>
      <c r="M1115" s="121"/>
      <c r="N1115" s="121"/>
      <c r="O1115" s="121"/>
      <c r="P1115" s="121"/>
      <c r="Q1115" s="121"/>
      <c r="R1115" s="121"/>
      <c r="S1115" s="121"/>
      <c r="T1115" s="121"/>
      <c r="U1115" s="121"/>
      <c r="V1115" s="121"/>
      <c r="W1115" s="121"/>
      <c r="X1115" s="121"/>
      <c r="Y1115" s="121"/>
      <c r="Z1115" s="121"/>
      <c r="AA1115" s="121"/>
      <c r="AB1115" s="121"/>
      <c r="AC1115" s="37">
        <f>AC1106+1</f>
        <v>124</v>
      </c>
    </row>
    <row r="1116" spans="2:29" ht="13.5" customHeight="1">
      <c r="B1116" s="99">
        <f>INDEX(QSGR!$B$16:$B$1570,AC1115)</f>
        <v>0</v>
      </c>
      <c r="C1116" s="121"/>
      <c r="D1116" s="121"/>
      <c r="E1116" s="97">
        <f>INDEX(QSGR!$D$16:$D$11170,AC1115)</f>
        <v>0</v>
      </c>
      <c r="F1116" s="121"/>
      <c r="G1116" s="121"/>
      <c r="H1116" s="121"/>
      <c r="I1116" s="121"/>
      <c r="J1116" s="121"/>
      <c r="K1116" s="121"/>
      <c r="L1116" s="121"/>
      <c r="M1116" s="121"/>
      <c r="N1116" s="121"/>
      <c r="O1116" s="121"/>
      <c r="P1116" s="121"/>
      <c r="Q1116" s="121"/>
      <c r="R1116" s="121"/>
      <c r="S1116" s="121"/>
      <c r="T1116" s="121"/>
      <c r="U1116" s="121"/>
      <c r="V1116" s="121"/>
      <c r="W1116" s="121"/>
      <c r="X1116" s="121"/>
      <c r="Y1116" s="121"/>
      <c r="Z1116" s="121"/>
      <c r="AA1116" s="121"/>
      <c r="AB1116" s="121"/>
    </row>
    <row r="1117" spans="2:29" ht="13.5" customHeight="1">
      <c r="B1117" s="96" t="str">
        <f>CONCATENATE("- Evento: ",INFO!$B$22)</f>
        <v>- Evento: PARTICIPAR DA OPERAÇÃO HORUS.</v>
      </c>
      <c r="C1117" s="121"/>
      <c r="D1117" s="121"/>
      <c r="E1117" s="121"/>
      <c r="F1117" s="121"/>
      <c r="G1117" s="121"/>
      <c r="H1117" s="121"/>
      <c r="I1117" s="121"/>
      <c r="J1117" s="121"/>
      <c r="K1117" s="121"/>
      <c r="L1117" s="121"/>
      <c r="M1117" s="121"/>
      <c r="N1117" s="121"/>
      <c r="O1117" s="121"/>
      <c r="P1117" s="121"/>
      <c r="Q1117" s="121"/>
      <c r="R1117" s="121"/>
      <c r="S1117" s="121"/>
      <c r="T1117" s="121"/>
      <c r="U1117" s="121"/>
      <c r="V1117" s="121"/>
      <c r="W1117" s="121"/>
      <c r="X1117" s="121"/>
      <c r="Y1117" s="121"/>
      <c r="Z1117" s="121"/>
      <c r="AA1117" s="121"/>
      <c r="AB1117" s="121"/>
    </row>
    <row r="1118" spans="2:29" ht="13.5" customHeight="1">
      <c r="B1118" s="98" t="str">
        <f>CONCATENATE("- Documento de Solicitação: ",INFO!$B$24)</f>
        <v>- Documento de Solicitação: TESTE AZUL</v>
      </c>
      <c r="C1118" s="121"/>
      <c r="D1118" s="121"/>
      <c r="E1118" s="121"/>
      <c r="F1118" s="121"/>
      <c r="G1118" s="121"/>
      <c r="H1118" s="121"/>
      <c r="I1118" s="121"/>
      <c r="J1118" s="121"/>
      <c r="K1118" s="121"/>
      <c r="L1118" s="121"/>
      <c r="M1118" s="121"/>
      <c r="N1118" s="121"/>
      <c r="O1118" s="121"/>
      <c r="P1118" s="121"/>
      <c r="Q1118" s="121"/>
      <c r="R1118" s="121"/>
      <c r="S1118" s="121"/>
      <c r="T1118" s="121"/>
      <c r="U1118" s="121"/>
      <c r="V1118" s="121"/>
      <c r="W1118" s="121"/>
      <c r="X1118" s="121"/>
      <c r="Y1118" s="121"/>
      <c r="Z1118" s="121"/>
      <c r="AA1118" s="121"/>
      <c r="AB1118" s="121"/>
    </row>
    <row r="1119" spans="2:29" ht="13.5" customHeight="1">
      <c r="B1119" s="98" t="str">
        <f>CONCATENATE("- Local: ",INFO!$C$18)</f>
        <v>- Local: GUAIRA - PR</v>
      </c>
      <c r="C1119" s="121"/>
      <c r="D1119" s="121"/>
      <c r="E1119" s="121"/>
      <c r="F1119" s="121"/>
      <c r="G1119" s="121"/>
      <c r="H1119" s="121"/>
      <c r="I1119" s="121"/>
      <c r="J1119" s="121"/>
      <c r="K1119" s="121"/>
      <c r="L1119" s="121"/>
      <c r="M1119" s="121"/>
      <c r="N1119" s="121"/>
      <c r="O1119" s="121"/>
      <c r="P1119" s="121"/>
      <c r="Q1119" s="121"/>
      <c r="R1119" s="121"/>
      <c r="S1119" s="121"/>
      <c r="T1119" s="121"/>
      <c r="U1119" s="121"/>
      <c r="V1119" s="121"/>
      <c r="W1119" s="121"/>
      <c r="X1119" s="121"/>
      <c r="Y1119" s="121"/>
      <c r="Z1119" s="121"/>
      <c r="AA1119" s="121"/>
      <c r="AB1119" s="121"/>
    </row>
    <row r="1120" spans="2:29" ht="13.5" customHeight="1">
      <c r="B1120" s="98" t="str">
        <f>CONCATENATE("- Periodo: ",INFO!$C$10," a ",INFO!$C$19)</f>
        <v xml:space="preserve">- Periodo: 22/7/2025  a 23/8/2025 </v>
      </c>
      <c r="C1120" s="121"/>
      <c r="D1120" s="121"/>
      <c r="E1120" s="121"/>
      <c r="F1120" s="121"/>
      <c r="G1120" s="121"/>
      <c r="H1120" s="121"/>
      <c r="I1120" s="121"/>
      <c r="J1120" s="121"/>
      <c r="K1120" s="121"/>
      <c r="L1120" s="121"/>
      <c r="M1120" s="121"/>
      <c r="N1120" s="121"/>
      <c r="O1120" s="121"/>
      <c r="P1120" s="121"/>
      <c r="Q1120" s="121"/>
      <c r="R1120" s="121"/>
      <c r="S1120" s="121"/>
      <c r="T1120" s="121"/>
      <c r="U1120" s="121"/>
      <c r="V1120" s="121"/>
      <c r="W1120" s="121"/>
      <c r="X1120" s="121"/>
      <c r="Y1120" s="121"/>
      <c r="Z1120" s="121"/>
      <c r="AA1120" s="121"/>
      <c r="AB1120" s="121"/>
    </row>
    <row r="1121" spans="2:29" ht="13.5" customHeight="1">
      <c r="B1121" s="98" t="str">
        <f>CONCATENATE("- Nr Dias: ",INFO!$C$20)</f>
        <v>- Nr Dias: 33</v>
      </c>
      <c r="C1121" s="121"/>
      <c r="D1121" s="121"/>
      <c r="E1121" s="121"/>
      <c r="F1121" s="121"/>
      <c r="G1121" s="121"/>
      <c r="H1121" s="121"/>
      <c r="I1121" s="121"/>
      <c r="J1121" s="121"/>
      <c r="K1121" s="121"/>
      <c r="L1121" s="121"/>
      <c r="M1121" s="121"/>
      <c r="N1121" s="121"/>
      <c r="O1121" s="121"/>
      <c r="P1121" s="121"/>
      <c r="Q1121" s="121"/>
      <c r="R1121" s="121"/>
      <c r="S1121" s="121"/>
      <c r="T1121" s="121"/>
      <c r="U1121" s="121"/>
      <c r="V1121" s="121"/>
      <c r="W1121" s="121"/>
      <c r="X1121" s="121"/>
      <c r="Y1121" s="121"/>
      <c r="Z1121" s="121"/>
      <c r="AA1121" s="121"/>
      <c r="AB1121" s="121"/>
    </row>
    <row r="1122" spans="2:29" ht="13.5" customHeight="1">
      <c r="B1122" s="98" t="e">
        <f>CONCATENATE("- Valor Estimado: R$ ",INDEX(QSGR!$J$16:$J$11170,AC1115))</f>
        <v>#N/A</v>
      </c>
      <c r="C1122" s="121"/>
      <c r="D1122" s="121"/>
      <c r="E1122" s="121"/>
      <c r="F1122" s="121"/>
      <c r="G1122" s="121"/>
      <c r="H1122" s="121"/>
      <c r="I1122" s="121"/>
      <c r="J1122" s="121"/>
      <c r="K1122" s="121"/>
      <c r="L1122" s="121"/>
      <c r="M1122" s="121"/>
      <c r="N1122" s="121"/>
      <c r="O1122" s="121"/>
      <c r="P1122" s="121"/>
      <c r="Q1122" s="121"/>
      <c r="R1122" s="121"/>
      <c r="S1122" s="121"/>
      <c r="T1122" s="121"/>
      <c r="U1122" s="121"/>
      <c r="V1122" s="121"/>
      <c r="W1122" s="121"/>
      <c r="X1122" s="121"/>
      <c r="Y1122" s="121"/>
      <c r="Z1122" s="121"/>
      <c r="AA1122" s="121"/>
      <c r="AB1122" s="121"/>
    </row>
    <row r="1123" spans="2:29" ht="13.5" customHeight="1">
      <c r="B1123" s="100"/>
      <c r="C1123" s="121"/>
      <c r="D1123" s="121"/>
      <c r="E1123" s="121"/>
      <c r="F1123" s="121"/>
      <c r="G1123" s="121"/>
      <c r="H1123" s="121"/>
      <c r="I1123" s="121"/>
      <c r="J1123" s="121"/>
      <c r="K1123" s="121"/>
      <c r="L1123" s="121"/>
      <c r="M1123" s="121"/>
      <c r="N1123" s="121"/>
      <c r="O1123" s="121"/>
      <c r="P1123" s="121"/>
      <c r="Q1123" s="121"/>
      <c r="R1123" s="121"/>
      <c r="S1123" s="121"/>
      <c r="T1123" s="121"/>
      <c r="U1123" s="121"/>
      <c r="V1123" s="121"/>
      <c r="W1123" s="121"/>
      <c r="X1123" s="121"/>
      <c r="Y1123" s="121"/>
      <c r="Z1123" s="121"/>
      <c r="AA1123" s="121"/>
      <c r="AB1123" s="121"/>
    </row>
    <row r="1124" spans="2:29" ht="13.5" customHeight="1">
      <c r="B1124" s="98" t="s">
        <v>55</v>
      </c>
      <c r="C1124" s="121"/>
      <c r="D1124" s="121"/>
      <c r="E1124" s="121"/>
      <c r="F1124" s="121"/>
      <c r="G1124" s="121"/>
      <c r="H1124" s="121"/>
      <c r="I1124" s="121"/>
      <c r="J1124" s="121"/>
      <c r="K1124" s="121"/>
      <c r="L1124" s="121"/>
      <c r="M1124" s="121"/>
      <c r="N1124" s="121"/>
      <c r="O1124" s="121"/>
      <c r="P1124" s="121"/>
      <c r="Q1124" s="121"/>
      <c r="R1124" s="121"/>
      <c r="S1124" s="121"/>
      <c r="T1124" s="121"/>
      <c r="U1124" s="121"/>
      <c r="V1124" s="121"/>
      <c r="W1124" s="121"/>
      <c r="X1124" s="121"/>
      <c r="Y1124" s="121"/>
      <c r="Z1124" s="121"/>
      <c r="AA1124" s="121"/>
      <c r="AB1124" s="121"/>
      <c r="AC1124" s="37">
        <f>AC1115+1</f>
        <v>125</v>
      </c>
    </row>
    <row r="1125" spans="2:29" ht="13.5" customHeight="1">
      <c r="B1125" s="99">
        <f>INDEX(QSGR!$B$16:$B$1570,AC1124)</f>
        <v>0</v>
      </c>
      <c r="C1125" s="121"/>
      <c r="D1125" s="121"/>
      <c r="E1125" s="97">
        <f>INDEX(QSGR!$D$16:$D$11170,AC1124)</f>
        <v>0</v>
      </c>
      <c r="F1125" s="121"/>
      <c r="G1125" s="121"/>
      <c r="H1125" s="121"/>
      <c r="I1125" s="121"/>
      <c r="J1125" s="121"/>
      <c r="K1125" s="121"/>
      <c r="L1125" s="121"/>
      <c r="M1125" s="121"/>
      <c r="N1125" s="121"/>
      <c r="O1125" s="121"/>
      <c r="P1125" s="121"/>
      <c r="Q1125" s="121"/>
      <c r="R1125" s="121"/>
      <c r="S1125" s="121"/>
      <c r="T1125" s="121"/>
      <c r="U1125" s="121"/>
      <c r="V1125" s="121"/>
      <c r="W1125" s="121"/>
      <c r="X1125" s="121"/>
      <c r="Y1125" s="121"/>
      <c r="Z1125" s="121"/>
      <c r="AA1125" s="121"/>
      <c r="AB1125" s="121"/>
    </row>
    <row r="1126" spans="2:29" ht="13.5" customHeight="1">
      <c r="B1126" s="96" t="str">
        <f>CONCATENATE("- Evento: ",INFO!$B$22)</f>
        <v>- Evento: PARTICIPAR DA OPERAÇÃO HORUS.</v>
      </c>
      <c r="C1126" s="121"/>
      <c r="D1126" s="121"/>
      <c r="E1126" s="121"/>
      <c r="F1126" s="121"/>
      <c r="G1126" s="121"/>
      <c r="H1126" s="121"/>
      <c r="I1126" s="121"/>
      <c r="J1126" s="121"/>
      <c r="K1126" s="121"/>
      <c r="L1126" s="121"/>
      <c r="M1126" s="121"/>
      <c r="N1126" s="121"/>
      <c r="O1126" s="121"/>
      <c r="P1126" s="121"/>
      <c r="Q1126" s="121"/>
      <c r="R1126" s="121"/>
      <c r="S1126" s="121"/>
      <c r="T1126" s="121"/>
      <c r="U1126" s="121"/>
      <c r="V1126" s="121"/>
      <c r="W1126" s="121"/>
      <c r="X1126" s="121"/>
      <c r="Y1126" s="121"/>
      <c r="Z1126" s="121"/>
      <c r="AA1126" s="121"/>
      <c r="AB1126" s="121"/>
    </row>
    <row r="1127" spans="2:29" ht="13.5" customHeight="1">
      <c r="B1127" s="98" t="str">
        <f>CONCATENATE("- Documento de Solicitação: ",INFO!$B$24)</f>
        <v>- Documento de Solicitação: TESTE AZUL</v>
      </c>
      <c r="C1127" s="121"/>
      <c r="D1127" s="121"/>
      <c r="E1127" s="121"/>
      <c r="F1127" s="121"/>
      <c r="G1127" s="121"/>
      <c r="H1127" s="121"/>
      <c r="I1127" s="121"/>
      <c r="J1127" s="121"/>
      <c r="K1127" s="121"/>
      <c r="L1127" s="121"/>
      <c r="M1127" s="121"/>
      <c r="N1127" s="121"/>
      <c r="O1127" s="121"/>
      <c r="P1127" s="121"/>
      <c r="Q1127" s="121"/>
      <c r="R1127" s="121"/>
      <c r="S1127" s="121"/>
      <c r="T1127" s="121"/>
      <c r="U1127" s="121"/>
      <c r="V1127" s="121"/>
      <c r="W1127" s="121"/>
      <c r="X1127" s="121"/>
      <c r="Y1127" s="121"/>
      <c r="Z1127" s="121"/>
      <c r="AA1127" s="121"/>
      <c r="AB1127" s="121"/>
    </row>
    <row r="1128" spans="2:29" ht="13.5" customHeight="1">
      <c r="B1128" s="98" t="str">
        <f>CONCATENATE("- Local: ",INFO!$C$18)</f>
        <v>- Local: GUAIRA - PR</v>
      </c>
      <c r="C1128" s="121"/>
      <c r="D1128" s="121"/>
      <c r="E1128" s="121"/>
      <c r="F1128" s="121"/>
      <c r="G1128" s="121"/>
      <c r="H1128" s="121"/>
      <c r="I1128" s="121"/>
      <c r="J1128" s="121"/>
      <c r="K1128" s="121"/>
      <c r="L1128" s="121"/>
      <c r="M1128" s="121"/>
      <c r="N1128" s="121"/>
      <c r="O1128" s="121"/>
      <c r="P1128" s="121"/>
      <c r="Q1128" s="121"/>
      <c r="R1128" s="121"/>
      <c r="S1128" s="121"/>
      <c r="T1128" s="121"/>
      <c r="U1128" s="121"/>
      <c r="V1128" s="121"/>
      <c r="W1128" s="121"/>
      <c r="X1128" s="121"/>
      <c r="Y1128" s="121"/>
      <c r="Z1128" s="121"/>
      <c r="AA1128" s="121"/>
      <c r="AB1128" s="121"/>
    </row>
    <row r="1129" spans="2:29" ht="13.5" customHeight="1">
      <c r="B1129" s="98" t="str">
        <f>CONCATENATE("- Periodo: ",INFO!$C$10," a ",INFO!$C$19)</f>
        <v xml:space="preserve">- Periodo: 22/7/2025  a 23/8/2025 </v>
      </c>
      <c r="C1129" s="121"/>
      <c r="D1129" s="121"/>
      <c r="E1129" s="121"/>
      <c r="F1129" s="121"/>
      <c r="G1129" s="121"/>
      <c r="H1129" s="121"/>
      <c r="I1129" s="121"/>
      <c r="J1129" s="121"/>
      <c r="K1129" s="121"/>
      <c r="L1129" s="121"/>
      <c r="M1129" s="121"/>
      <c r="N1129" s="121"/>
      <c r="O1129" s="121"/>
      <c r="P1129" s="121"/>
      <c r="Q1129" s="121"/>
      <c r="R1129" s="121"/>
      <c r="S1129" s="121"/>
      <c r="T1129" s="121"/>
      <c r="U1129" s="121"/>
      <c r="V1129" s="121"/>
      <c r="W1129" s="121"/>
      <c r="X1129" s="121"/>
      <c r="Y1129" s="121"/>
      <c r="Z1129" s="121"/>
      <c r="AA1129" s="121"/>
      <c r="AB1129" s="121"/>
    </row>
    <row r="1130" spans="2:29" ht="13.5" customHeight="1">
      <c r="B1130" s="98" t="str">
        <f>CONCATENATE("- Nr Dias: ",INFO!$C$20)</f>
        <v>- Nr Dias: 33</v>
      </c>
      <c r="C1130" s="121"/>
      <c r="D1130" s="121"/>
      <c r="E1130" s="121"/>
      <c r="F1130" s="121"/>
      <c r="G1130" s="121"/>
      <c r="H1130" s="121"/>
      <c r="I1130" s="121"/>
      <c r="J1130" s="121"/>
      <c r="K1130" s="121"/>
      <c r="L1130" s="121"/>
      <c r="M1130" s="121"/>
      <c r="N1130" s="121"/>
      <c r="O1130" s="121"/>
      <c r="P1130" s="121"/>
      <c r="Q1130" s="121"/>
      <c r="R1130" s="121"/>
      <c r="S1130" s="121"/>
      <c r="T1130" s="121"/>
      <c r="U1130" s="121"/>
      <c r="V1130" s="121"/>
      <c r="W1130" s="121"/>
      <c r="X1130" s="121"/>
      <c r="Y1130" s="121"/>
      <c r="Z1130" s="121"/>
      <c r="AA1130" s="121"/>
      <c r="AB1130" s="121"/>
    </row>
    <row r="1131" spans="2:29" ht="13.5" customHeight="1">
      <c r="B1131" s="98" t="e">
        <f>CONCATENATE("- Valor Estimado: R$ ",INDEX(QSGR!$J$16:$J$11170,AC1124))</f>
        <v>#N/A</v>
      </c>
      <c r="C1131" s="121"/>
      <c r="D1131" s="121"/>
      <c r="E1131" s="121"/>
      <c r="F1131" s="121"/>
      <c r="G1131" s="121"/>
      <c r="H1131" s="121"/>
      <c r="I1131" s="121"/>
      <c r="J1131" s="121"/>
      <c r="K1131" s="121"/>
      <c r="L1131" s="121"/>
      <c r="M1131" s="121"/>
      <c r="N1131" s="121"/>
      <c r="O1131" s="121"/>
      <c r="P1131" s="121"/>
      <c r="Q1131" s="121"/>
      <c r="R1131" s="121"/>
      <c r="S1131" s="121"/>
      <c r="T1131" s="121"/>
      <c r="U1131" s="121"/>
      <c r="V1131" s="121"/>
      <c r="W1131" s="121"/>
      <c r="X1131" s="121"/>
      <c r="Y1131" s="121"/>
      <c r="Z1131" s="121"/>
      <c r="AA1131" s="121"/>
      <c r="AB1131" s="121"/>
    </row>
    <row r="1132" spans="2:29" ht="13.5" customHeight="1">
      <c r="B1132" s="100"/>
      <c r="C1132" s="121"/>
      <c r="D1132" s="121"/>
      <c r="E1132" s="121"/>
      <c r="F1132" s="121"/>
      <c r="G1132" s="121"/>
      <c r="H1132" s="121"/>
      <c r="I1132" s="121"/>
      <c r="J1132" s="121"/>
      <c r="K1132" s="121"/>
      <c r="L1132" s="121"/>
      <c r="M1132" s="121"/>
      <c r="N1132" s="121"/>
      <c r="O1132" s="121"/>
      <c r="P1132" s="121"/>
      <c r="Q1132" s="121"/>
      <c r="R1132" s="121"/>
      <c r="S1132" s="121"/>
      <c r="T1132" s="121"/>
      <c r="U1132" s="121"/>
      <c r="V1132" s="121"/>
      <c r="W1132" s="121"/>
      <c r="X1132" s="121"/>
      <c r="Y1132" s="121"/>
      <c r="Z1132" s="121"/>
      <c r="AA1132" s="121"/>
      <c r="AB1132" s="121"/>
    </row>
    <row r="1133" spans="2:29" ht="13.5" customHeight="1">
      <c r="B1133" s="98" t="s">
        <v>55</v>
      </c>
      <c r="C1133" s="121"/>
      <c r="D1133" s="121"/>
      <c r="E1133" s="121"/>
      <c r="F1133" s="121"/>
      <c r="G1133" s="121"/>
      <c r="H1133" s="121"/>
      <c r="I1133" s="121"/>
      <c r="J1133" s="121"/>
      <c r="K1133" s="121"/>
      <c r="L1133" s="121"/>
      <c r="M1133" s="121"/>
      <c r="N1133" s="121"/>
      <c r="O1133" s="121"/>
      <c r="P1133" s="121"/>
      <c r="Q1133" s="121"/>
      <c r="R1133" s="121"/>
      <c r="S1133" s="121"/>
      <c r="T1133" s="121"/>
      <c r="U1133" s="121"/>
      <c r="V1133" s="121"/>
      <c r="W1133" s="121"/>
      <c r="X1133" s="121"/>
      <c r="Y1133" s="121"/>
      <c r="Z1133" s="121"/>
      <c r="AA1133" s="121"/>
      <c r="AB1133" s="121"/>
      <c r="AC1133" s="37">
        <f>AC1124+1</f>
        <v>126</v>
      </c>
    </row>
    <row r="1134" spans="2:29" ht="13.5" customHeight="1">
      <c r="B1134" s="99">
        <f>INDEX(QSGR!$B$16:$B$1570,AC1133)</f>
        <v>0</v>
      </c>
      <c r="C1134" s="121"/>
      <c r="D1134" s="121"/>
      <c r="E1134" s="97">
        <f>INDEX(QSGR!$D$16:$D$11170,AC1133)</f>
        <v>0</v>
      </c>
      <c r="F1134" s="121"/>
      <c r="G1134" s="121"/>
      <c r="H1134" s="121"/>
      <c r="I1134" s="121"/>
      <c r="J1134" s="121"/>
      <c r="K1134" s="121"/>
      <c r="L1134" s="121"/>
      <c r="M1134" s="121"/>
      <c r="N1134" s="121"/>
      <c r="O1134" s="121"/>
      <c r="P1134" s="121"/>
      <c r="Q1134" s="121"/>
      <c r="R1134" s="121"/>
      <c r="S1134" s="121"/>
      <c r="T1134" s="121"/>
      <c r="U1134" s="121"/>
      <c r="V1134" s="121"/>
      <c r="W1134" s="121"/>
      <c r="X1134" s="121"/>
      <c r="Y1134" s="121"/>
      <c r="Z1134" s="121"/>
      <c r="AA1134" s="121"/>
      <c r="AB1134" s="121"/>
    </row>
    <row r="1135" spans="2:29" ht="13.5" customHeight="1">
      <c r="B1135" s="96" t="str">
        <f>CONCATENATE("- Evento: ",INFO!$B$22)</f>
        <v>- Evento: PARTICIPAR DA OPERAÇÃO HORUS.</v>
      </c>
      <c r="C1135" s="121"/>
      <c r="D1135" s="121"/>
      <c r="E1135" s="121"/>
      <c r="F1135" s="121"/>
      <c r="G1135" s="121"/>
      <c r="H1135" s="121"/>
      <c r="I1135" s="121"/>
      <c r="J1135" s="121"/>
      <c r="K1135" s="121"/>
      <c r="L1135" s="121"/>
      <c r="M1135" s="121"/>
      <c r="N1135" s="121"/>
      <c r="O1135" s="121"/>
      <c r="P1135" s="121"/>
      <c r="Q1135" s="121"/>
      <c r="R1135" s="121"/>
      <c r="S1135" s="121"/>
      <c r="T1135" s="121"/>
      <c r="U1135" s="121"/>
      <c r="V1135" s="121"/>
      <c r="W1135" s="121"/>
      <c r="X1135" s="121"/>
      <c r="Y1135" s="121"/>
      <c r="Z1135" s="121"/>
      <c r="AA1135" s="121"/>
      <c r="AB1135" s="121"/>
    </row>
    <row r="1136" spans="2:29" ht="13.5" customHeight="1">
      <c r="B1136" s="98" t="str">
        <f>CONCATENATE("- Documento de Solicitação: ",INFO!$B$24)</f>
        <v>- Documento de Solicitação: TESTE AZUL</v>
      </c>
      <c r="C1136" s="121"/>
      <c r="D1136" s="121"/>
      <c r="E1136" s="121"/>
      <c r="F1136" s="121"/>
      <c r="G1136" s="121"/>
      <c r="H1136" s="121"/>
      <c r="I1136" s="121"/>
      <c r="J1136" s="121"/>
      <c r="K1136" s="121"/>
      <c r="L1136" s="121"/>
      <c r="M1136" s="121"/>
      <c r="N1136" s="121"/>
      <c r="O1136" s="121"/>
      <c r="P1136" s="121"/>
      <c r="Q1136" s="121"/>
      <c r="R1136" s="121"/>
      <c r="S1136" s="121"/>
      <c r="T1136" s="121"/>
      <c r="U1136" s="121"/>
      <c r="V1136" s="121"/>
      <c r="W1136" s="121"/>
      <c r="X1136" s="121"/>
      <c r="Y1136" s="121"/>
      <c r="Z1136" s="121"/>
      <c r="AA1136" s="121"/>
      <c r="AB1136" s="121"/>
    </row>
    <row r="1137" spans="2:29" ht="13.5" customHeight="1">
      <c r="B1137" s="98" t="str">
        <f>CONCATENATE("- Local: ",INFO!$C$18)</f>
        <v>- Local: GUAIRA - PR</v>
      </c>
      <c r="C1137" s="121"/>
      <c r="D1137" s="121"/>
      <c r="E1137" s="121"/>
      <c r="F1137" s="121"/>
      <c r="G1137" s="121"/>
      <c r="H1137" s="121"/>
      <c r="I1137" s="121"/>
      <c r="J1137" s="121"/>
      <c r="K1137" s="121"/>
      <c r="L1137" s="121"/>
      <c r="M1137" s="121"/>
      <c r="N1137" s="121"/>
      <c r="O1137" s="121"/>
      <c r="P1137" s="121"/>
      <c r="Q1137" s="121"/>
      <c r="R1137" s="121"/>
      <c r="S1137" s="121"/>
      <c r="T1137" s="121"/>
      <c r="U1137" s="121"/>
      <c r="V1137" s="121"/>
      <c r="W1137" s="121"/>
      <c r="X1137" s="121"/>
      <c r="Y1137" s="121"/>
      <c r="Z1137" s="121"/>
      <c r="AA1137" s="121"/>
      <c r="AB1137" s="121"/>
    </row>
    <row r="1138" spans="2:29" ht="13.5" customHeight="1">
      <c r="B1138" s="98" t="str">
        <f>CONCATENATE("- Periodo: ",INFO!$C$10," a ",INFO!$C$19)</f>
        <v xml:space="preserve">- Periodo: 22/7/2025  a 23/8/2025 </v>
      </c>
      <c r="C1138" s="121"/>
      <c r="D1138" s="121"/>
      <c r="E1138" s="121"/>
      <c r="F1138" s="121"/>
      <c r="G1138" s="121"/>
      <c r="H1138" s="121"/>
      <c r="I1138" s="121"/>
      <c r="J1138" s="121"/>
      <c r="K1138" s="121"/>
      <c r="L1138" s="121"/>
      <c r="M1138" s="121"/>
      <c r="N1138" s="121"/>
      <c r="O1138" s="121"/>
      <c r="P1138" s="121"/>
      <c r="Q1138" s="121"/>
      <c r="R1138" s="121"/>
      <c r="S1138" s="121"/>
      <c r="T1138" s="121"/>
      <c r="U1138" s="121"/>
      <c r="V1138" s="121"/>
      <c r="W1138" s="121"/>
      <c r="X1138" s="121"/>
      <c r="Y1138" s="121"/>
      <c r="Z1138" s="121"/>
      <c r="AA1138" s="121"/>
      <c r="AB1138" s="121"/>
    </row>
    <row r="1139" spans="2:29" ht="13.5" customHeight="1">
      <c r="B1139" s="98" t="str">
        <f>CONCATENATE("- Nr Dias: ",INFO!$C$20)</f>
        <v>- Nr Dias: 33</v>
      </c>
      <c r="C1139" s="121"/>
      <c r="D1139" s="121"/>
      <c r="E1139" s="121"/>
      <c r="F1139" s="121"/>
      <c r="G1139" s="121"/>
      <c r="H1139" s="121"/>
      <c r="I1139" s="121"/>
      <c r="J1139" s="121"/>
      <c r="K1139" s="121"/>
      <c r="L1139" s="121"/>
      <c r="M1139" s="121"/>
      <c r="N1139" s="121"/>
      <c r="O1139" s="121"/>
      <c r="P1139" s="121"/>
      <c r="Q1139" s="121"/>
      <c r="R1139" s="121"/>
      <c r="S1139" s="121"/>
      <c r="T1139" s="121"/>
      <c r="U1139" s="121"/>
      <c r="V1139" s="121"/>
      <c r="W1139" s="121"/>
      <c r="X1139" s="121"/>
      <c r="Y1139" s="121"/>
      <c r="Z1139" s="121"/>
      <c r="AA1139" s="121"/>
      <c r="AB1139" s="121"/>
    </row>
    <row r="1140" spans="2:29" ht="13.5" customHeight="1">
      <c r="B1140" s="98" t="e">
        <f>CONCATENATE("- Valor Estimado: R$ ",INDEX(QSGR!$J$16:$J$11170,AC1133))</f>
        <v>#N/A</v>
      </c>
      <c r="C1140" s="121"/>
      <c r="D1140" s="121"/>
      <c r="E1140" s="121"/>
      <c r="F1140" s="121"/>
      <c r="G1140" s="121"/>
      <c r="H1140" s="121"/>
      <c r="I1140" s="121"/>
      <c r="J1140" s="121"/>
      <c r="K1140" s="121"/>
      <c r="L1140" s="121"/>
      <c r="M1140" s="121"/>
      <c r="N1140" s="121"/>
      <c r="O1140" s="121"/>
      <c r="P1140" s="121"/>
      <c r="Q1140" s="121"/>
      <c r="R1140" s="121"/>
      <c r="S1140" s="121"/>
      <c r="T1140" s="121"/>
      <c r="U1140" s="121"/>
      <c r="V1140" s="121"/>
      <c r="W1140" s="121"/>
      <c r="X1140" s="121"/>
      <c r="Y1140" s="121"/>
      <c r="Z1140" s="121"/>
      <c r="AA1140" s="121"/>
      <c r="AB1140" s="121"/>
    </row>
    <row r="1141" spans="2:29" ht="13.5" customHeight="1">
      <c r="B1141" s="100"/>
      <c r="C1141" s="121"/>
      <c r="D1141" s="121"/>
      <c r="E1141" s="121"/>
      <c r="F1141" s="121"/>
      <c r="G1141" s="121"/>
      <c r="H1141" s="121"/>
      <c r="I1141" s="121"/>
      <c r="J1141" s="121"/>
      <c r="K1141" s="121"/>
      <c r="L1141" s="121"/>
      <c r="M1141" s="121"/>
      <c r="N1141" s="121"/>
      <c r="O1141" s="121"/>
      <c r="P1141" s="121"/>
      <c r="Q1141" s="121"/>
      <c r="R1141" s="121"/>
      <c r="S1141" s="121"/>
      <c r="T1141" s="121"/>
      <c r="U1141" s="121"/>
      <c r="V1141" s="121"/>
      <c r="W1141" s="121"/>
      <c r="X1141" s="121"/>
      <c r="Y1141" s="121"/>
      <c r="Z1141" s="121"/>
      <c r="AA1141" s="121"/>
      <c r="AB1141" s="121"/>
    </row>
    <row r="1142" spans="2:29" ht="13.5" customHeight="1">
      <c r="B1142" s="98" t="s">
        <v>55</v>
      </c>
      <c r="C1142" s="121"/>
      <c r="D1142" s="121"/>
      <c r="E1142" s="121"/>
      <c r="F1142" s="121"/>
      <c r="G1142" s="121"/>
      <c r="H1142" s="121"/>
      <c r="I1142" s="121"/>
      <c r="J1142" s="121"/>
      <c r="K1142" s="121"/>
      <c r="L1142" s="121"/>
      <c r="M1142" s="121"/>
      <c r="N1142" s="121"/>
      <c r="O1142" s="121"/>
      <c r="P1142" s="121"/>
      <c r="Q1142" s="121"/>
      <c r="R1142" s="121"/>
      <c r="S1142" s="121"/>
      <c r="T1142" s="121"/>
      <c r="U1142" s="121"/>
      <c r="V1142" s="121"/>
      <c r="W1142" s="121"/>
      <c r="X1142" s="121"/>
      <c r="Y1142" s="121"/>
      <c r="Z1142" s="121"/>
      <c r="AA1142" s="121"/>
      <c r="AB1142" s="121"/>
      <c r="AC1142" s="37">
        <f>AC1133+1</f>
        <v>127</v>
      </c>
    </row>
    <row r="1143" spans="2:29" ht="13.5" customHeight="1">
      <c r="B1143" s="99">
        <f>INDEX(QSGR!$B$16:$B$1570,AC1142)</f>
        <v>0</v>
      </c>
      <c r="C1143" s="121"/>
      <c r="D1143" s="121"/>
      <c r="E1143" s="97">
        <f>INDEX(QSGR!$D$16:$D$11170,AC1142)</f>
        <v>0</v>
      </c>
      <c r="F1143" s="121"/>
      <c r="G1143" s="121"/>
      <c r="H1143" s="121"/>
      <c r="I1143" s="121"/>
      <c r="J1143" s="121"/>
      <c r="K1143" s="121"/>
      <c r="L1143" s="121"/>
      <c r="M1143" s="121"/>
      <c r="N1143" s="121"/>
      <c r="O1143" s="121"/>
      <c r="P1143" s="121"/>
      <c r="Q1143" s="121"/>
      <c r="R1143" s="121"/>
      <c r="S1143" s="121"/>
      <c r="T1143" s="121"/>
      <c r="U1143" s="121"/>
      <c r="V1143" s="121"/>
      <c r="W1143" s="121"/>
      <c r="X1143" s="121"/>
      <c r="Y1143" s="121"/>
      <c r="Z1143" s="121"/>
      <c r="AA1143" s="121"/>
      <c r="AB1143" s="121"/>
    </row>
    <row r="1144" spans="2:29" ht="13.5" customHeight="1">
      <c r="B1144" s="96" t="str">
        <f>CONCATENATE("- Evento: ",INFO!$B$22)</f>
        <v>- Evento: PARTICIPAR DA OPERAÇÃO HORUS.</v>
      </c>
      <c r="C1144" s="121"/>
      <c r="D1144" s="121"/>
      <c r="E1144" s="121"/>
      <c r="F1144" s="121"/>
      <c r="G1144" s="121"/>
      <c r="H1144" s="121"/>
      <c r="I1144" s="121"/>
      <c r="J1144" s="121"/>
      <c r="K1144" s="121"/>
      <c r="L1144" s="121"/>
      <c r="M1144" s="121"/>
      <c r="N1144" s="121"/>
      <c r="O1144" s="121"/>
      <c r="P1144" s="121"/>
      <c r="Q1144" s="121"/>
      <c r="R1144" s="121"/>
      <c r="S1144" s="121"/>
      <c r="T1144" s="121"/>
      <c r="U1144" s="121"/>
      <c r="V1144" s="121"/>
      <c r="W1144" s="121"/>
      <c r="X1144" s="121"/>
      <c r="Y1144" s="121"/>
      <c r="Z1144" s="121"/>
      <c r="AA1144" s="121"/>
      <c r="AB1144" s="121"/>
    </row>
    <row r="1145" spans="2:29" ht="13.5" customHeight="1">
      <c r="B1145" s="98" t="str">
        <f>CONCATENATE("- Documento de Solicitação: ",INFO!$B$24)</f>
        <v>- Documento de Solicitação: TESTE AZUL</v>
      </c>
      <c r="C1145" s="121"/>
      <c r="D1145" s="121"/>
      <c r="E1145" s="121"/>
      <c r="F1145" s="121"/>
      <c r="G1145" s="121"/>
      <c r="H1145" s="121"/>
      <c r="I1145" s="121"/>
      <c r="J1145" s="121"/>
      <c r="K1145" s="121"/>
      <c r="L1145" s="121"/>
      <c r="M1145" s="121"/>
      <c r="N1145" s="121"/>
      <c r="O1145" s="121"/>
      <c r="P1145" s="121"/>
      <c r="Q1145" s="121"/>
      <c r="R1145" s="121"/>
      <c r="S1145" s="121"/>
      <c r="T1145" s="121"/>
      <c r="U1145" s="121"/>
      <c r="V1145" s="121"/>
      <c r="W1145" s="121"/>
      <c r="X1145" s="121"/>
      <c r="Y1145" s="121"/>
      <c r="Z1145" s="121"/>
      <c r="AA1145" s="121"/>
      <c r="AB1145" s="121"/>
    </row>
    <row r="1146" spans="2:29" ht="13.5" customHeight="1">
      <c r="B1146" s="98" t="str">
        <f>CONCATENATE("- Local: ",INFO!$C$18)</f>
        <v>- Local: GUAIRA - PR</v>
      </c>
      <c r="C1146" s="121"/>
      <c r="D1146" s="121"/>
      <c r="E1146" s="121"/>
      <c r="F1146" s="121"/>
      <c r="G1146" s="121"/>
      <c r="H1146" s="121"/>
      <c r="I1146" s="121"/>
      <c r="J1146" s="121"/>
      <c r="K1146" s="121"/>
      <c r="L1146" s="121"/>
      <c r="M1146" s="121"/>
      <c r="N1146" s="121"/>
      <c r="O1146" s="121"/>
      <c r="P1146" s="121"/>
      <c r="Q1146" s="121"/>
      <c r="R1146" s="121"/>
      <c r="S1146" s="121"/>
      <c r="T1146" s="121"/>
      <c r="U1146" s="121"/>
      <c r="V1146" s="121"/>
      <c r="W1146" s="121"/>
      <c r="X1146" s="121"/>
      <c r="Y1146" s="121"/>
      <c r="Z1146" s="121"/>
      <c r="AA1146" s="121"/>
      <c r="AB1146" s="121"/>
    </row>
    <row r="1147" spans="2:29" ht="13.5" customHeight="1">
      <c r="B1147" s="98" t="str">
        <f>CONCATENATE("- Periodo: ",INFO!$C$10," a ",INFO!$C$19)</f>
        <v xml:space="preserve">- Periodo: 22/7/2025  a 23/8/2025 </v>
      </c>
      <c r="C1147" s="121"/>
      <c r="D1147" s="121"/>
      <c r="E1147" s="121"/>
      <c r="F1147" s="121"/>
      <c r="G1147" s="121"/>
      <c r="H1147" s="121"/>
      <c r="I1147" s="121"/>
      <c r="J1147" s="121"/>
      <c r="K1147" s="121"/>
      <c r="L1147" s="121"/>
      <c r="M1147" s="121"/>
      <c r="N1147" s="121"/>
      <c r="O1147" s="121"/>
      <c r="P1147" s="121"/>
      <c r="Q1147" s="121"/>
      <c r="R1147" s="121"/>
      <c r="S1147" s="121"/>
      <c r="T1147" s="121"/>
      <c r="U1147" s="121"/>
      <c r="V1147" s="121"/>
      <c r="W1147" s="121"/>
      <c r="X1147" s="121"/>
      <c r="Y1147" s="121"/>
      <c r="Z1147" s="121"/>
      <c r="AA1147" s="121"/>
      <c r="AB1147" s="121"/>
    </row>
    <row r="1148" spans="2:29" ht="13.5" customHeight="1">
      <c r="B1148" s="98" t="str">
        <f>CONCATENATE("- Nr Dias: ",INFO!$C$20)</f>
        <v>- Nr Dias: 33</v>
      </c>
      <c r="C1148" s="121"/>
      <c r="D1148" s="121"/>
      <c r="E1148" s="121"/>
      <c r="F1148" s="121"/>
      <c r="G1148" s="121"/>
      <c r="H1148" s="121"/>
      <c r="I1148" s="121"/>
      <c r="J1148" s="121"/>
      <c r="K1148" s="121"/>
      <c r="L1148" s="121"/>
      <c r="M1148" s="121"/>
      <c r="N1148" s="121"/>
      <c r="O1148" s="121"/>
      <c r="P1148" s="121"/>
      <c r="Q1148" s="121"/>
      <c r="R1148" s="121"/>
      <c r="S1148" s="121"/>
      <c r="T1148" s="121"/>
      <c r="U1148" s="121"/>
      <c r="V1148" s="121"/>
      <c r="W1148" s="121"/>
      <c r="X1148" s="121"/>
      <c r="Y1148" s="121"/>
      <c r="Z1148" s="121"/>
      <c r="AA1148" s="121"/>
      <c r="AB1148" s="121"/>
    </row>
    <row r="1149" spans="2:29" ht="13.5" customHeight="1">
      <c r="B1149" s="98" t="e">
        <f>CONCATENATE("- Valor Estimado: R$ ",INDEX(QSGR!$J$16:$J$11170,AC1142))</f>
        <v>#N/A</v>
      </c>
      <c r="C1149" s="121"/>
      <c r="D1149" s="121"/>
      <c r="E1149" s="121"/>
      <c r="F1149" s="121"/>
      <c r="G1149" s="121"/>
      <c r="H1149" s="121"/>
      <c r="I1149" s="121"/>
      <c r="J1149" s="121"/>
      <c r="K1149" s="121"/>
      <c r="L1149" s="121"/>
      <c r="M1149" s="121"/>
      <c r="N1149" s="121"/>
      <c r="O1149" s="121"/>
      <c r="P1149" s="121"/>
      <c r="Q1149" s="121"/>
      <c r="R1149" s="121"/>
      <c r="S1149" s="121"/>
      <c r="T1149" s="121"/>
      <c r="U1149" s="121"/>
      <c r="V1149" s="121"/>
      <c r="W1149" s="121"/>
      <c r="X1149" s="121"/>
      <c r="Y1149" s="121"/>
      <c r="Z1149" s="121"/>
      <c r="AA1149" s="121"/>
      <c r="AB1149" s="121"/>
    </row>
    <row r="1150" spans="2:29" ht="13.5" customHeight="1">
      <c r="B1150" s="100"/>
      <c r="C1150" s="121"/>
      <c r="D1150" s="121"/>
      <c r="E1150" s="121"/>
      <c r="F1150" s="121"/>
      <c r="G1150" s="121"/>
      <c r="H1150" s="121"/>
      <c r="I1150" s="121"/>
      <c r="J1150" s="121"/>
      <c r="K1150" s="121"/>
      <c r="L1150" s="121"/>
      <c r="M1150" s="121"/>
      <c r="N1150" s="121"/>
      <c r="O1150" s="121"/>
      <c r="P1150" s="121"/>
      <c r="Q1150" s="121"/>
      <c r="R1150" s="121"/>
      <c r="S1150" s="121"/>
      <c r="T1150" s="121"/>
      <c r="U1150" s="121"/>
      <c r="V1150" s="121"/>
      <c r="W1150" s="121"/>
      <c r="X1150" s="121"/>
      <c r="Y1150" s="121"/>
      <c r="Z1150" s="121"/>
      <c r="AA1150" s="121"/>
      <c r="AB1150" s="121"/>
    </row>
    <row r="1151" spans="2:29" ht="13.5" customHeight="1">
      <c r="B1151" s="98" t="s">
        <v>55</v>
      </c>
      <c r="C1151" s="121"/>
      <c r="D1151" s="121"/>
      <c r="E1151" s="121"/>
      <c r="F1151" s="121"/>
      <c r="G1151" s="121"/>
      <c r="H1151" s="121"/>
      <c r="I1151" s="121"/>
      <c r="J1151" s="121"/>
      <c r="K1151" s="121"/>
      <c r="L1151" s="121"/>
      <c r="M1151" s="121"/>
      <c r="N1151" s="121"/>
      <c r="O1151" s="121"/>
      <c r="P1151" s="121"/>
      <c r="Q1151" s="121"/>
      <c r="R1151" s="121"/>
      <c r="S1151" s="121"/>
      <c r="T1151" s="121"/>
      <c r="U1151" s="121"/>
      <c r="V1151" s="121"/>
      <c r="W1151" s="121"/>
      <c r="X1151" s="121"/>
      <c r="Y1151" s="121"/>
      <c r="Z1151" s="121"/>
      <c r="AA1151" s="121"/>
      <c r="AB1151" s="121"/>
      <c r="AC1151" s="37">
        <f>AC1142+1</f>
        <v>128</v>
      </c>
    </row>
    <row r="1152" spans="2:29" ht="13.5" customHeight="1">
      <c r="B1152" s="99">
        <f>INDEX(QSGR!$B$16:$B$1570,AC1151)</f>
        <v>0</v>
      </c>
      <c r="C1152" s="121"/>
      <c r="D1152" s="121"/>
      <c r="E1152" s="97">
        <f>INDEX(QSGR!$D$16:$D$11170,AC1151)</f>
        <v>0</v>
      </c>
      <c r="F1152" s="121"/>
      <c r="G1152" s="121"/>
      <c r="H1152" s="121"/>
      <c r="I1152" s="121"/>
      <c r="J1152" s="121"/>
      <c r="K1152" s="121"/>
      <c r="L1152" s="121"/>
      <c r="M1152" s="121"/>
      <c r="N1152" s="121"/>
      <c r="O1152" s="121"/>
      <c r="P1152" s="121"/>
      <c r="Q1152" s="121"/>
      <c r="R1152" s="121"/>
      <c r="S1152" s="121"/>
      <c r="T1152" s="121"/>
      <c r="U1152" s="121"/>
      <c r="V1152" s="121"/>
      <c r="W1152" s="121"/>
      <c r="X1152" s="121"/>
      <c r="Y1152" s="121"/>
      <c r="Z1152" s="121"/>
      <c r="AA1152" s="121"/>
      <c r="AB1152" s="121"/>
    </row>
    <row r="1153" spans="2:29" ht="13.5" customHeight="1">
      <c r="B1153" s="96" t="str">
        <f>CONCATENATE("- Evento: ",INFO!$B$22)</f>
        <v>- Evento: PARTICIPAR DA OPERAÇÃO HORUS.</v>
      </c>
      <c r="C1153" s="121"/>
      <c r="D1153" s="121"/>
      <c r="E1153" s="121"/>
      <c r="F1153" s="121"/>
      <c r="G1153" s="121"/>
      <c r="H1153" s="121"/>
      <c r="I1153" s="121"/>
      <c r="J1153" s="121"/>
      <c r="K1153" s="121"/>
      <c r="L1153" s="121"/>
      <c r="M1153" s="121"/>
      <c r="N1153" s="121"/>
      <c r="O1153" s="121"/>
      <c r="P1153" s="121"/>
      <c r="Q1153" s="121"/>
      <c r="R1153" s="121"/>
      <c r="S1153" s="121"/>
      <c r="T1153" s="121"/>
      <c r="U1153" s="121"/>
      <c r="V1153" s="121"/>
      <c r="W1153" s="121"/>
      <c r="X1153" s="121"/>
      <c r="Y1153" s="121"/>
      <c r="Z1153" s="121"/>
      <c r="AA1153" s="121"/>
      <c r="AB1153" s="121"/>
    </row>
    <row r="1154" spans="2:29" ht="13.5" customHeight="1">
      <c r="B1154" s="98" t="str">
        <f>CONCATENATE("- Documento de Solicitação: ",INFO!$B$24)</f>
        <v>- Documento de Solicitação: TESTE AZUL</v>
      </c>
      <c r="C1154" s="121"/>
      <c r="D1154" s="121"/>
      <c r="E1154" s="121"/>
      <c r="F1154" s="121"/>
      <c r="G1154" s="121"/>
      <c r="H1154" s="121"/>
      <c r="I1154" s="121"/>
      <c r="J1154" s="121"/>
      <c r="K1154" s="121"/>
      <c r="L1154" s="121"/>
      <c r="M1154" s="121"/>
      <c r="N1154" s="121"/>
      <c r="O1154" s="121"/>
      <c r="P1154" s="121"/>
      <c r="Q1154" s="121"/>
      <c r="R1154" s="121"/>
      <c r="S1154" s="121"/>
      <c r="T1154" s="121"/>
      <c r="U1154" s="121"/>
      <c r="V1154" s="121"/>
      <c r="W1154" s="121"/>
      <c r="X1154" s="121"/>
      <c r="Y1154" s="121"/>
      <c r="Z1154" s="121"/>
      <c r="AA1154" s="121"/>
      <c r="AB1154" s="121"/>
    </row>
    <row r="1155" spans="2:29" ht="13.5" customHeight="1">
      <c r="B1155" s="98" t="str">
        <f>CONCATENATE("- Local: ",INFO!$C$18)</f>
        <v>- Local: GUAIRA - PR</v>
      </c>
      <c r="C1155" s="121"/>
      <c r="D1155" s="121"/>
      <c r="E1155" s="121"/>
      <c r="F1155" s="121"/>
      <c r="G1155" s="121"/>
      <c r="H1155" s="121"/>
      <c r="I1155" s="121"/>
      <c r="J1155" s="121"/>
      <c r="K1155" s="121"/>
      <c r="L1155" s="121"/>
      <c r="M1155" s="121"/>
      <c r="N1155" s="121"/>
      <c r="O1155" s="121"/>
      <c r="P1155" s="121"/>
      <c r="Q1155" s="121"/>
      <c r="R1155" s="121"/>
      <c r="S1155" s="121"/>
      <c r="T1155" s="121"/>
      <c r="U1155" s="121"/>
      <c r="V1155" s="121"/>
      <c r="W1155" s="121"/>
      <c r="X1155" s="121"/>
      <c r="Y1155" s="121"/>
      <c r="Z1155" s="121"/>
      <c r="AA1155" s="121"/>
      <c r="AB1155" s="121"/>
    </row>
    <row r="1156" spans="2:29" ht="13.5" customHeight="1">
      <c r="B1156" s="98" t="str">
        <f>CONCATENATE("- Periodo: ",INFO!$C$10," a ",INFO!$C$19)</f>
        <v xml:space="preserve">- Periodo: 22/7/2025  a 23/8/2025 </v>
      </c>
      <c r="C1156" s="121"/>
      <c r="D1156" s="121"/>
      <c r="E1156" s="121"/>
      <c r="F1156" s="121"/>
      <c r="G1156" s="121"/>
      <c r="H1156" s="121"/>
      <c r="I1156" s="121"/>
      <c r="J1156" s="121"/>
      <c r="K1156" s="121"/>
      <c r="L1156" s="121"/>
      <c r="M1156" s="121"/>
      <c r="N1156" s="121"/>
      <c r="O1156" s="121"/>
      <c r="P1156" s="121"/>
      <c r="Q1156" s="121"/>
      <c r="R1156" s="121"/>
      <c r="S1156" s="121"/>
      <c r="T1156" s="121"/>
      <c r="U1156" s="121"/>
      <c r="V1156" s="121"/>
      <c r="W1156" s="121"/>
      <c r="X1156" s="121"/>
      <c r="Y1156" s="121"/>
      <c r="Z1156" s="121"/>
      <c r="AA1156" s="121"/>
      <c r="AB1156" s="121"/>
    </row>
    <row r="1157" spans="2:29" ht="13.5" customHeight="1">
      <c r="B1157" s="98" t="str">
        <f>CONCATENATE("- Nr Dias: ",INFO!$C$20)</f>
        <v>- Nr Dias: 33</v>
      </c>
      <c r="C1157" s="121"/>
      <c r="D1157" s="121"/>
      <c r="E1157" s="121"/>
      <c r="F1157" s="121"/>
      <c r="G1157" s="121"/>
      <c r="H1157" s="121"/>
      <c r="I1157" s="121"/>
      <c r="J1157" s="121"/>
      <c r="K1157" s="121"/>
      <c r="L1157" s="121"/>
      <c r="M1157" s="121"/>
      <c r="N1157" s="121"/>
      <c r="O1157" s="121"/>
      <c r="P1157" s="121"/>
      <c r="Q1157" s="121"/>
      <c r="R1157" s="121"/>
      <c r="S1157" s="121"/>
      <c r="T1157" s="121"/>
      <c r="U1157" s="121"/>
      <c r="V1157" s="121"/>
      <c r="W1157" s="121"/>
      <c r="X1157" s="121"/>
      <c r="Y1157" s="121"/>
      <c r="Z1157" s="121"/>
      <c r="AA1157" s="121"/>
      <c r="AB1157" s="121"/>
    </row>
    <row r="1158" spans="2:29" ht="13.5" customHeight="1">
      <c r="B1158" s="98" t="e">
        <f>CONCATENATE("- Valor Estimado: R$ ",INDEX(QSGR!$J$16:$J$11170,AC1151))</f>
        <v>#N/A</v>
      </c>
      <c r="C1158" s="121"/>
      <c r="D1158" s="121"/>
      <c r="E1158" s="121"/>
      <c r="F1158" s="121"/>
      <c r="G1158" s="121"/>
      <c r="H1158" s="121"/>
      <c r="I1158" s="121"/>
      <c r="J1158" s="121"/>
      <c r="K1158" s="121"/>
      <c r="L1158" s="121"/>
      <c r="M1158" s="121"/>
      <c r="N1158" s="121"/>
      <c r="O1158" s="121"/>
      <c r="P1158" s="121"/>
      <c r="Q1158" s="121"/>
      <c r="R1158" s="121"/>
      <c r="S1158" s="121"/>
      <c r="T1158" s="121"/>
      <c r="U1158" s="121"/>
      <c r="V1158" s="121"/>
      <c r="W1158" s="121"/>
      <c r="X1158" s="121"/>
      <c r="Y1158" s="121"/>
      <c r="Z1158" s="121"/>
      <c r="AA1158" s="121"/>
      <c r="AB1158" s="121"/>
    </row>
    <row r="1159" spans="2:29" ht="13.5" customHeight="1">
      <c r="B1159" s="100"/>
      <c r="C1159" s="121"/>
      <c r="D1159" s="121"/>
      <c r="E1159" s="121"/>
      <c r="F1159" s="121"/>
      <c r="G1159" s="121"/>
      <c r="H1159" s="121"/>
      <c r="I1159" s="121"/>
      <c r="J1159" s="121"/>
      <c r="K1159" s="121"/>
      <c r="L1159" s="121"/>
      <c r="M1159" s="121"/>
      <c r="N1159" s="121"/>
      <c r="O1159" s="121"/>
      <c r="P1159" s="121"/>
      <c r="Q1159" s="121"/>
      <c r="R1159" s="121"/>
      <c r="S1159" s="121"/>
      <c r="T1159" s="121"/>
      <c r="U1159" s="121"/>
      <c r="V1159" s="121"/>
      <c r="W1159" s="121"/>
      <c r="X1159" s="121"/>
      <c r="Y1159" s="121"/>
      <c r="Z1159" s="121"/>
      <c r="AA1159" s="121"/>
      <c r="AB1159" s="121"/>
    </row>
    <row r="1160" spans="2:29" ht="13.5" customHeight="1">
      <c r="B1160" s="98" t="s">
        <v>55</v>
      </c>
      <c r="C1160" s="121"/>
      <c r="D1160" s="121"/>
      <c r="E1160" s="121"/>
      <c r="F1160" s="121"/>
      <c r="G1160" s="121"/>
      <c r="H1160" s="121"/>
      <c r="I1160" s="121"/>
      <c r="J1160" s="121"/>
      <c r="K1160" s="121"/>
      <c r="L1160" s="121"/>
      <c r="M1160" s="121"/>
      <c r="N1160" s="121"/>
      <c r="O1160" s="121"/>
      <c r="P1160" s="121"/>
      <c r="Q1160" s="121"/>
      <c r="R1160" s="121"/>
      <c r="S1160" s="121"/>
      <c r="T1160" s="121"/>
      <c r="U1160" s="121"/>
      <c r="V1160" s="121"/>
      <c r="W1160" s="121"/>
      <c r="X1160" s="121"/>
      <c r="Y1160" s="121"/>
      <c r="Z1160" s="121"/>
      <c r="AA1160" s="121"/>
      <c r="AB1160" s="121"/>
      <c r="AC1160" s="37">
        <f>AC1151+1</f>
        <v>129</v>
      </c>
    </row>
    <row r="1161" spans="2:29" ht="13.5" customHeight="1">
      <c r="B1161" s="99">
        <f>INDEX(QSGR!$B$16:$B$1570,AC1160)</f>
        <v>0</v>
      </c>
      <c r="C1161" s="121"/>
      <c r="D1161" s="121"/>
      <c r="E1161" s="97">
        <f>INDEX(QSGR!$D$16:$D$11170,AC1160)</f>
        <v>0</v>
      </c>
      <c r="F1161" s="121"/>
      <c r="G1161" s="121"/>
      <c r="H1161" s="121"/>
      <c r="I1161" s="121"/>
      <c r="J1161" s="121"/>
      <c r="K1161" s="121"/>
      <c r="L1161" s="121"/>
      <c r="M1161" s="121"/>
      <c r="N1161" s="121"/>
      <c r="O1161" s="121"/>
      <c r="P1161" s="121"/>
      <c r="Q1161" s="121"/>
      <c r="R1161" s="121"/>
      <c r="S1161" s="121"/>
      <c r="T1161" s="121"/>
      <c r="U1161" s="121"/>
      <c r="V1161" s="121"/>
      <c r="W1161" s="121"/>
      <c r="X1161" s="121"/>
      <c r="Y1161" s="121"/>
      <c r="Z1161" s="121"/>
      <c r="AA1161" s="121"/>
      <c r="AB1161" s="121"/>
    </row>
    <row r="1162" spans="2:29" ht="13.5" customHeight="1">
      <c r="B1162" s="96" t="str">
        <f>CONCATENATE("- Evento: ",INFO!$B$22)</f>
        <v>- Evento: PARTICIPAR DA OPERAÇÃO HORUS.</v>
      </c>
      <c r="C1162" s="121"/>
      <c r="D1162" s="121"/>
      <c r="E1162" s="121"/>
      <c r="F1162" s="121"/>
      <c r="G1162" s="121"/>
      <c r="H1162" s="121"/>
      <c r="I1162" s="121"/>
      <c r="J1162" s="121"/>
      <c r="K1162" s="121"/>
      <c r="L1162" s="121"/>
      <c r="M1162" s="121"/>
      <c r="N1162" s="121"/>
      <c r="O1162" s="121"/>
      <c r="P1162" s="121"/>
      <c r="Q1162" s="121"/>
      <c r="R1162" s="121"/>
      <c r="S1162" s="121"/>
      <c r="T1162" s="121"/>
      <c r="U1162" s="121"/>
      <c r="V1162" s="121"/>
      <c r="W1162" s="121"/>
      <c r="X1162" s="121"/>
      <c r="Y1162" s="121"/>
      <c r="Z1162" s="121"/>
      <c r="AA1162" s="121"/>
      <c r="AB1162" s="121"/>
    </row>
    <row r="1163" spans="2:29" ht="13.5" customHeight="1">
      <c r="B1163" s="98" t="str">
        <f>CONCATENATE("- Documento de Solicitação: ",INFO!$B$24)</f>
        <v>- Documento de Solicitação: TESTE AZUL</v>
      </c>
      <c r="C1163" s="121"/>
      <c r="D1163" s="121"/>
      <c r="E1163" s="121"/>
      <c r="F1163" s="121"/>
      <c r="G1163" s="121"/>
      <c r="H1163" s="121"/>
      <c r="I1163" s="121"/>
      <c r="J1163" s="121"/>
      <c r="K1163" s="121"/>
      <c r="L1163" s="121"/>
      <c r="M1163" s="121"/>
      <c r="N1163" s="121"/>
      <c r="O1163" s="121"/>
      <c r="P1163" s="121"/>
      <c r="Q1163" s="121"/>
      <c r="R1163" s="121"/>
      <c r="S1163" s="121"/>
      <c r="T1163" s="121"/>
      <c r="U1163" s="121"/>
      <c r="V1163" s="121"/>
      <c r="W1163" s="121"/>
      <c r="X1163" s="121"/>
      <c r="Y1163" s="121"/>
      <c r="Z1163" s="121"/>
      <c r="AA1163" s="121"/>
      <c r="AB1163" s="121"/>
    </row>
    <row r="1164" spans="2:29" ht="13.5" customHeight="1">
      <c r="B1164" s="98" t="str">
        <f>CONCATENATE("- Local: ",INFO!$C$18)</f>
        <v>- Local: GUAIRA - PR</v>
      </c>
      <c r="C1164" s="121"/>
      <c r="D1164" s="121"/>
      <c r="E1164" s="121"/>
      <c r="F1164" s="121"/>
      <c r="G1164" s="121"/>
      <c r="H1164" s="121"/>
      <c r="I1164" s="121"/>
      <c r="J1164" s="121"/>
      <c r="K1164" s="121"/>
      <c r="L1164" s="121"/>
      <c r="M1164" s="121"/>
      <c r="N1164" s="121"/>
      <c r="O1164" s="121"/>
      <c r="P1164" s="121"/>
      <c r="Q1164" s="121"/>
      <c r="R1164" s="121"/>
      <c r="S1164" s="121"/>
      <c r="T1164" s="121"/>
      <c r="U1164" s="121"/>
      <c r="V1164" s="121"/>
      <c r="W1164" s="121"/>
      <c r="X1164" s="121"/>
      <c r="Y1164" s="121"/>
      <c r="Z1164" s="121"/>
      <c r="AA1164" s="121"/>
      <c r="AB1164" s="121"/>
    </row>
    <row r="1165" spans="2:29" ht="13.5" customHeight="1">
      <c r="B1165" s="98" t="str">
        <f>CONCATENATE("- Periodo: ",INFO!$C$10," a ",INFO!$C$19)</f>
        <v xml:space="preserve">- Periodo: 22/7/2025  a 23/8/2025 </v>
      </c>
      <c r="C1165" s="121"/>
      <c r="D1165" s="121"/>
      <c r="E1165" s="121"/>
      <c r="F1165" s="121"/>
      <c r="G1165" s="121"/>
      <c r="H1165" s="121"/>
      <c r="I1165" s="121"/>
      <c r="J1165" s="121"/>
      <c r="K1165" s="121"/>
      <c r="L1165" s="121"/>
      <c r="M1165" s="121"/>
      <c r="N1165" s="121"/>
      <c r="O1165" s="121"/>
      <c r="P1165" s="121"/>
      <c r="Q1165" s="121"/>
      <c r="R1165" s="121"/>
      <c r="S1165" s="121"/>
      <c r="T1165" s="121"/>
      <c r="U1165" s="121"/>
      <c r="V1165" s="121"/>
      <c r="W1165" s="121"/>
      <c r="X1165" s="121"/>
      <c r="Y1165" s="121"/>
      <c r="Z1165" s="121"/>
      <c r="AA1165" s="121"/>
      <c r="AB1165" s="121"/>
    </row>
    <row r="1166" spans="2:29" ht="13.5" customHeight="1">
      <c r="B1166" s="98" t="str">
        <f>CONCATENATE("- Nr Dias: ",INFO!$C$20)</f>
        <v>- Nr Dias: 33</v>
      </c>
      <c r="C1166" s="121"/>
      <c r="D1166" s="121"/>
      <c r="E1166" s="121"/>
      <c r="F1166" s="121"/>
      <c r="G1166" s="121"/>
      <c r="H1166" s="121"/>
      <c r="I1166" s="121"/>
      <c r="J1166" s="121"/>
      <c r="K1166" s="121"/>
      <c r="L1166" s="121"/>
      <c r="M1166" s="121"/>
      <c r="N1166" s="121"/>
      <c r="O1166" s="121"/>
      <c r="P1166" s="121"/>
      <c r="Q1166" s="121"/>
      <c r="R1166" s="121"/>
      <c r="S1166" s="121"/>
      <c r="T1166" s="121"/>
      <c r="U1166" s="121"/>
      <c r="V1166" s="121"/>
      <c r="W1166" s="121"/>
      <c r="X1166" s="121"/>
      <c r="Y1166" s="121"/>
      <c r="Z1166" s="121"/>
      <c r="AA1166" s="121"/>
      <c r="AB1166" s="121"/>
    </row>
    <row r="1167" spans="2:29" ht="13.5" customHeight="1">
      <c r="B1167" s="98" t="e">
        <f>CONCATENATE("- Valor Estimado: R$ ",INDEX(QSGR!$J$16:$J$11170,AC1160))</f>
        <v>#N/A</v>
      </c>
      <c r="C1167" s="121"/>
      <c r="D1167" s="121"/>
      <c r="E1167" s="121"/>
      <c r="F1167" s="121"/>
      <c r="G1167" s="121"/>
      <c r="H1167" s="121"/>
      <c r="I1167" s="121"/>
      <c r="J1167" s="121"/>
      <c r="K1167" s="121"/>
      <c r="L1167" s="121"/>
      <c r="M1167" s="121"/>
      <c r="N1167" s="121"/>
      <c r="O1167" s="121"/>
      <c r="P1167" s="121"/>
      <c r="Q1167" s="121"/>
      <c r="R1167" s="121"/>
      <c r="S1167" s="121"/>
      <c r="T1167" s="121"/>
      <c r="U1167" s="121"/>
      <c r="V1167" s="121"/>
      <c r="W1167" s="121"/>
      <c r="X1167" s="121"/>
      <c r="Y1167" s="121"/>
      <c r="Z1167" s="121"/>
      <c r="AA1167" s="121"/>
      <c r="AB1167" s="121"/>
    </row>
    <row r="1168" spans="2:29" ht="13.5" customHeight="1">
      <c r="B1168" s="100"/>
      <c r="C1168" s="121"/>
      <c r="D1168" s="121"/>
      <c r="E1168" s="121"/>
      <c r="F1168" s="121"/>
      <c r="G1168" s="121"/>
      <c r="H1168" s="121"/>
      <c r="I1168" s="121"/>
      <c r="J1168" s="121"/>
      <c r="K1168" s="121"/>
      <c r="L1168" s="121"/>
      <c r="M1168" s="121"/>
      <c r="N1168" s="121"/>
      <c r="O1168" s="121"/>
      <c r="P1168" s="121"/>
      <c r="Q1168" s="121"/>
      <c r="R1168" s="121"/>
      <c r="S1168" s="121"/>
      <c r="T1168" s="121"/>
      <c r="U1168" s="121"/>
      <c r="V1168" s="121"/>
      <c r="W1168" s="121"/>
      <c r="X1168" s="121"/>
      <c r="Y1168" s="121"/>
      <c r="Z1168" s="121"/>
      <c r="AA1168" s="121"/>
      <c r="AB1168" s="121"/>
    </row>
    <row r="1169" spans="2:29" ht="13.5" customHeight="1">
      <c r="B1169" s="98" t="s">
        <v>55</v>
      </c>
      <c r="C1169" s="121"/>
      <c r="D1169" s="121"/>
      <c r="E1169" s="121"/>
      <c r="F1169" s="121"/>
      <c r="G1169" s="121"/>
      <c r="H1169" s="121"/>
      <c r="I1169" s="121"/>
      <c r="J1169" s="121"/>
      <c r="K1169" s="121"/>
      <c r="L1169" s="121"/>
      <c r="M1169" s="121"/>
      <c r="N1169" s="121"/>
      <c r="O1169" s="121"/>
      <c r="P1169" s="121"/>
      <c r="Q1169" s="121"/>
      <c r="R1169" s="121"/>
      <c r="S1169" s="121"/>
      <c r="T1169" s="121"/>
      <c r="U1169" s="121"/>
      <c r="V1169" s="121"/>
      <c r="W1169" s="121"/>
      <c r="X1169" s="121"/>
      <c r="Y1169" s="121"/>
      <c r="Z1169" s="121"/>
      <c r="AA1169" s="121"/>
      <c r="AB1169" s="121"/>
      <c r="AC1169" s="37">
        <f>AC1160+1</f>
        <v>130</v>
      </c>
    </row>
    <row r="1170" spans="2:29" ht="13.5" customHeight="1">
      <c r="B1170" s="99">
        <f>INDEX(QSGR!$B$16:$B$1570,AC1169)</f>
        <v>0</v>
      </c>
      <c r="C1170" s="121"/>
      <c r="D1170" s="121"/>
      <c r="E1170" s="97">
        <f>INDEX(QSGR!$D$16:$D$11170,AC1169)</f>
        <v>0</v>
      </c>
      <c r="F1170" s="121"/>
      <c r="G1170" s="121"/>
      <c r="H1170" s="121"/>
      <c r="I1170" s="121"/>
      <c r="J1170" s="121"/>
      <c r="K1170" s="121"/>
      <c r="L1170" s="121"/>
      <c r="M1170" s="121"/>
      <c r="N1170" s="121"/>
      <c r="O1170" s="121"/>
      <c r="P1170" s="121"/>
      <c r="Q1170" s="121"/>
      <c r="R1170" s="121"/>
      <c r="S1170" s="121"/>
      <c r="T1170" s="121"/>
      <c r="U1170" s="121"/>
      <c r="V1170" s="121"/>
      <c r="W1170" s="121"/>
      <c r="X1170" s="121"/>
      <c r="Y1170" s="121"/>
      <c r="Z1170" s="121"/>
      <c r="AA1170" s="121"/>
      <c r="AB1170" s="121"/>
    </row>
    <row r="1171" spans="2:29" ht="13.5" customHeight="1">
      <c r="B1171" s="96" t="str">
        <f>CONCATENATE("- Evento: ",INFO!$B$22)</f>
        <v>- Evento: PARTICIPAR DA OPERAÇÃO HORUS.</v>
      </c>
      <c r="C1171" s="121"/>
      <c r="D1171" s="121"/>
      <c r="E1171" s="121"/>
      <c r="F1171" s="121"/>
      <c r="G1171" s="121"/>
      <c r="H1171" s="121"/>
      <c r="I1171" s="121"/>
      <c r="J1171" s="121"/>
      <c r="K1171" s="121"/>
      <c r="L1171" s="121"/>
      <c r="M1171" s="121"/>
      <c r="N1171" s="121"/>
      <c r="O1171" s="121"/>
      <c r="P1171" s="121"/>
      <c r="Q1171" s="121"/>
      <c r="R1171" s="121"/>
      <c r="S1171" s="121"/>
      <c r="T1171" s="121"/>
      <c r="U1171" s="121"/>
      <c r="V1171" s="121"/>
      <c r="W1171" s="121"/>
      <c r="X1171" s="121"/>
      <c r="Y1171" s="121"/>
      <c r="Z1171" s="121"/>
      <c r="AA1171" s="121"/>
      <c r="AB1171" s="121"/>
    </row>
    <row r="1172" spans="2:29" ht="13.5" customHeight="1">
      <c r="B1172" s="98" t="str">
        <f>CONCATENATE("- Documento de Solicitação: ",INFO!$B$24)</f>
        <v>- Documento de Solicitação: TESTE AZUL</v>
      </c>
      <c r="C1172" s="121"/>
      <c r="D1172" s="121"/>
      <c r="E1172" s="121"/>
      <c r="F1172" s="121"/>
      <c r="G1172" s="121"/>
      <c r="H1172" s="121"/>
      <c r="I1172" s="121"/>
      <c r="J1172" s="121"/>
      <c r="K1172" s="121"/>
      <c r="L1172" s="121"/>
      <c r="M1172" s="121"/>
      <c r="N1172" s="121"/>
      <c r="O1172" s="121"/>
      <c r="P1172" s="121"/>
      <c r="Q1172" s="121"/>
      <c r="R1172" s="121"/>
      <c r="S1172" s="121"/>
      <c r="T1172" s="121"/>
      <c r="U1172" s="121"/>
      <c r="V1172" s="121"/>
      <c r="W1172" s="121"/>
      <c r="X1172" s="121"/>
      <c r="Y1172" s="121"/>
      <c r="Z1172" s="121"/>
      <c r="AA1172" s="121"/>
      <c r="AB1172" s="121"/>
    </row>
    <row r="1173" spans="2:29" ht="13.5" customHeight="1">
      <c r="B1173" s="98" t="str">
        <f>CONCATENATE("- Local: ",INFO!$C$18)</f>
        <v>- Local: GUAIRA - PR</v>
      </c>
      <c r="C1173" s="121"/>
      <c r="D1173" s="121"/>
      <c r="E1173" s="121"/>
      <c r="F1173" s="121"/>
      <c r="G1173" s="121"/>
      <c r="H1173" s="121"/>
      <c r="I1173" s="121"/>
      <c r="J1173" s="121"/>
      <c r="K1173" s="121"/>
      <c r="L1173" s="121"/>
      <c r="M1173" s="121"/>
      <c r="N1173" s="121"/>
      <c r="O1173" s="121"/>
      <c r="P1173" s="121"/>
      <c r="Q1173" s="121"/>
      <c r="R1173" s="121"/>
      <c r="S1173" s="121"/>
      <c r="T1173" s="121"/>
      <c r="U1173" s="121"/>
      <c r="V1173" s="121"/>
      <c r="W1173" s="121"/>
      <c r="X1173" s="121"/>
      <c r="Y1173" s="121"/>
      <c r="Z1173" s="121"/>
      <c r="AA1173" s="121"/>
      <c r="AB1173" s="121"/>
    </row>
    <row r="1174" spans="2:29" ht="13.5" customHeight="1">
      <c r="B1174" s="98" t="str">
        <f>CONCATENATE("- Periodo: ",INFO!$C$10," a ",INFO!$C$19)</f>
        <v xml:space="preserve">- Periodo: 22/7/2025  a 23/8/2025 </v>
      </c>
      <c r="C1174" s="121"/>
      <c r="D1174" s="121"/>
      <c r="E1174" s="121"/>
      <c r="F1174" s="121"/>
      <c r="G1174" s="121"/>
      <c r="H1174" s="121"/>
      <c r="I1174" s="121"/>
      <c r="J1174" s="121"/>
      <c r="K1174" s="121"/>
      <c r="L1174" s="121"/>
      <c r="M1174" s="121"/>
      <c r="N1174" s="121"/>
      <c r="O1174" s="121"/>
      <c r="P1174" s="121"/>
      <c r="Q1174" s="121"/>
      <c r="R1174" s="121"/>
      <c r="S1174" s="121"/>
      <c r="T1174" s="121"/>
      <c r="U1174" s="121"/>
      <c r="V1174" s="121"/>
      <c r="W1174" s="121"/>
      <c r="X1174" s="121"/>
      <c r="Y1174" s="121"/>
      <c r="Z1174" s="121"/>
      <c r="AA1174" s="121"/>
      <c r="AB1174" s="121"/>
    </row>
    <row r="1175" spans="2:29" ht="13.5" customHeight="1">
      <c r="B1175" s="98" t="str">
        <f>CONCATENATE("- Nr Dias: ",INFO!$C$20)</f>
        <v>- Nr Dias: 33</v>
      </c>
      <c r="C1175" s="121"/>
      <c r="D1175" s="121"/>
      <c r="E1175" s="121"/>
      <c r="F1175" s="121"/>
      <c r="G1175" s="121"/>
      <c r="H1175" s="121"/>
      <c r="I1175" s="121"/>
      <c r="J1175" s="121"/>
      <c r="K1175" s="121"/>
      <c r="L1175" s="121"/>
      <c r="M1175" s="121"/>
      <c r="N1175" s="121"/>
      <c r="O1175" s="121"/>
      <c r="P1175" s="121"/>
      <c r="Q1175" s="121"/>
      <c r="R1175" s="121"/>
      <c r="S1175" s="121"/>
      <c r="T1175" s="121"/>
      <c r="U1175" s="121"/>
      <c r="V1175" s="121"/>
      <c r="W1175" s="121"/>
      <c r="X1175" s="121"/>
      <c r="Y1175" s="121"/>
      <c r="Z1175" s="121"/>
      <c r="AA1175" s="121"/>
      <c r="AB1175" s="121"/>
    </row>
    <row r="1176" spans="2:29" ht="13.5" customHeight="1">
      <c r="B1176" s="98" t="e">
        <f>CONCATENATE("- Valor Estimado: R$ ",INDEX(QSGR!$J$16:$J$11170,AC1169))</f>
        <v>#N/A</v>
      </c>
      <c r="C1176" s="121"/>
      <c r="D1176" s="121"/>
      <c r="E1176" s="121"/>
      <c r="F1176" s="121"/>
      <c r="G1176" s="121"/>
      <c r="H1176" s="121"/>
      <c r="I1176" s="121"/>
      <c r="J1176" s="121"/>
      <c r="K1176" s="121"/>
      <c r="L1176" s="121"/>
      <c r="M1176" s="121"/>
      <c r="N1176" s="121"/>
      <c r="O1176" s="121"/>
      <c r="P1176" s="121"/>
      <c r="Q1176" s="121"/>
      <c r="R1176" s="121"/>
      <c r="S1176" s="121"/>
      <c r="T1176" s="121"/>
      <c r="U1176" s="121"/>
      <c r="V1176" s="121"/>
      <c r="W1176" s="121"/>
      <c r="X1176" s="121"/>
      <c r="Y1176" s="121"/>
      <c r="Z1176" s="121"/>
      <c r="AA1176" s="121"/>
      <c r="AB1176" s="121"/>
    </row>
    <row r="1177" spans="2:29" ht="13.5" customHeight="1">
      <c r="B1177" s="100"/>
      <c r="C1177" s="121"/>
      <c r="D1177" s="121"/>
      <c r="E1177" s="121"/>
      <c r="F1177" s="121"/>
      <c r="G1177" s="121"/>
      <c r="H1177" s="121"/>
      <c r="I1177" s="121"/>
      <c r="J1177" s="121"/>
      <c r="K1177" s="121"/>
      <c r="L1177" s="121"/>
      <c r="M1177" s="121"/>
      <c r="N1177" s="121"/>
      <c r="O1177" s="121"/>
      <c r="P1177" s="121"/>
      <c r="Q1177" s="121"/>
      <c r="R1177" s="121"/>
      <c r="S1177" s="121"/>
      <c r="T1177" s="121"/>
      <c r="U1177" s="121"/>
      <c r="V1177" s="121"/>
      <c r="W1177" s="121"/>
      <c r="X1177" s="121"/>
      <c r="Y1177" s="121"/>
      <c r="Z1177" s="121"/>
      <c r="AA1177" s="121"/>
      <c r="AB1177" s="121"/>
    </row>
    <row r="1178" spans="2:29" ht="13.5" customHeight="1">
      <c r="B1178" s="98" t="s">
        <v>55</v>
      </c>
      <c r="C1178" s="121"/>
      <c r="D1178" s="121"/>
      <c r="E1178" s="121"/>
      <c r="F1178" s="121"/>
      <c r="G1178" s="121"/>
      <c r="H1178" s="121"/>
      <c r="I1178" s="121"/>
      <c r="J1178" s="121"/>
      <c r="K1178" s="121"/>
      <c r="L1178" s="121"/>
      <c r="M1178" s="121"/>
      <c r="N1178" s="121"/>
      <c r="O1178" s="121"/>
      <c r="P1178" s="121"/>
      <c r="Q1178" s="121"/>
      <c r="R1178" s="121"/>
      <c r="S1178" s="121"/>
      <c r="T1178" s="121"/>
      <c r="U1178" s="121"/>
      <c r="V1178" s="121"/>
      <c r="W1178" s="121"/>
      <c r="X1178" s="121"/>
      <c r="Y1178" s="121"/>
      <c r="Z1178" s="121"/>
      <c r="AA1178" s="121"/>
      <c r="AB1178" s="121"/>
      <c r="AC1178" s="37">
        <f>AC1169+1</f>
        <v>131</v>
      </c>
    </row>
    <row r="1179" spans="2:29" ht="13.5" customHeight="1">
      <c r="B1179" s="99">
        <f>INDEX(QSGR!$B$16:$B$1570,AC1178)</f>
        <v>0</v>
      </c>
      <c r="C1179" s="121"/>
      <c r="D1179" s="121"/>
      <c r="E1179" s="97">
        <f>INDEX(QSGR!$D$16:$D$11170,AC1178)</f>
        <v>0</v>
      </c>
      <c r="F1179" s="121"/>
      <c r="G1179" s="121"/>
      <c r="H1179" s="121"/>
      <c r="I1179" s="121"/>
      <c r="J1179" s="121"/>
      <c r="K1179" s="121"/>
      <c r="L1179" s="121"/>
      <c r="M1179" s="121"/>
      <c r="N1179" s="121"/>
      <c r="O1179" s="121"/>
      <c r="P1179" s="121"/>
      <c r="Q1179" s="121"/>
      <c r="R1179" s="121"/>
      <c r="S1179" s="121"/>
      <c r="T1179" s="121"/>
      <c r="U1179" s="121"/>
      <c r="V1179" s="121"/>
      <c r="W1179" s="121"/>
      <c r="X1179" s="121"/>
      <c r="Y1179" s="121"/>
      <c r="Z1179" s="121"/>
      <c r="AA1179" s="121"/>
      <c r="AB1179" s="121"/>
    </row>
    <row r="1180" spans="2:29" ht="13.5" customHeight="1">
      <c r="B1180" s="96" t="str">
        <f>CONCATENATE("- Evento: ",INFO!$B$22)</f>
        <v>- Evento: PARTICIPAR DA OPERAÇÃO HORUS.</v>
      </c>
      <c r="C1180" s="121"/>
      <c r="D1180" s="121"/>
      <c r="E1180" s="121"/>
      <c r="F1180" s="121"/>
      <c r="G1180" s="121"/>
      <c r="H1180" s="121"/>
      <c r="I1180" s="121"/>
      <c r="J1180" s="121"/>
      <c r="K1180" s="121"/>
      <c r="L1180" s="121"/>
      <c r="M1180" s="121"/>
      <c r="N1180" s="121"/>
      <c r="O1180" s="121"/>
      <c r="P1180" s="121"/>
      <c r="Q1180" s="121"/>
      <c r="R1180" s="121"/>
      <c r="S1180" s="121"/>
      <c r="T1180" s="121"/>
      <c r="U1180" s="121"/>
      <c r="V1180" s="121"/>
      <c r="W1180" s="121"/>
      <c r="X1180" s="121"/>
      <c r="Y1180" s="121"/>
      <c r="Z1180" s="121"/>
      <c r="AA1180" s="121"/>
      <c r="AB1180" s="121"/>
    </row>
    <row r="1181" spans="2:29" ht="13.5" customHeight="1">
      <c r="B1181" s="98" t="str">
        <f>CONCATENATE("- Documento de Solicitação: ",INFO!$B$24)</f>
        <v>- Documento de Solicitação: TESTE AZUL</v>
      </c>
      <c r="C1181" s="121"/>
      <c r="D1181" s="121"/>
      <c r="E1181" s="121"/>
      <c r="F1181" s="121"/>
      <c r="G1181" s="121"/>
      <c r="H1181" s="121"/>
      <c r="I1181" s="121"/>
      <c r="J1181" s="121"/>
      <c r="K1181" s="121"/>
      <c r="L1181" s="121"/>
      <c r="M1181" s="121"/>
      <c r="N1181" s="121"/>
      <c r="O1181" s="121"/>
      <c r="P1181" s="121"/>
      <c r="Q1181" s="121"/>
      <c r="R1181" s="121"/>
      <c r="S1181" s="121"/>
      <c r="T1181" s="121"/>
      <c r="U1181" s="121"/>
      <c r="V1181" s="121"/>
      <c r="W1181" s="121"/>
      <c r="X1181" s="121"/>
      <c r="Y1181" s="121"/>
      <c r="Z1181" s="121"/>
      <c r="AA1181" s="121"/>
      <c r="AB1181" s="121"/>
    </row>
    <row r="1182" spans="2:29" ht="13.5" customHeight="1">
      <c r="B1182" s="98" t="str">
        <f>CONCATENATE("- Local: ",INFO!$C$18)</f>
        <v>- Local: GUAIRA - PR</v>
      </c>
      <c r="C1182" s="121"/>
      <c r="D1182" s="121"/>
      <c r="E1182" s="121"/>
      <c r="F1182" s="121"/>
      <c r="G1182" s="121"/>
      <c r="H1182" s="121"/>
      <c r="I1182" s="121"/>
      <c r="J1182" s="121"/>
      <c r="K1182" s="121"/>
      <c r="L1182" s="121"/>
      <c r="M1182" s="121"/>
      <c r="N1182" s="121"/>
      <c r="O1182" s="121"/>
      <c r="P1182" s="121"/>
      <c r="Q1182" s="121"/>
      <c r="R1182" s="121"/>
      <c r="S1182" s="121"/>
      <c r="T1182" s="121"/>
      <c r="U1182" s="121"/>
      <c r="V1182" s="121"/>
      <c r="W1182" s="121"/>
      <c r="X1182" s="121"/>
      <c r="Y1182" s="121"/>
      <c r="Z1182" s="121"/>
      <c r="AA1182" s="121"/>
      <c r="AB1182" s="121"/>
    </row>
    <row r="1183" spans="2:29" ht="13.5" customHeight="1">
      <c r="B1183" s="98" t="str">
        <f>CONCATENATE("- Periodo: ",INFO!$C$10," a ",INFO!$C$19)</f>
        <v xml:space="preserve">- Periodo: 22/7/2025  a 23/8/2025 </v>
      </c>
      <c r="C1183" s="121"/>
      <c r="D1183" s="121"/>
      <c r="E1183" s="121"/>
      <c r="F1183" s="121"/>
      <c r="G1183" s="121"/>
      <c r="H1183" s="121"/>
      <c r="I1183" s="121"/>
      <c r="J1183" s="121"/>
      <c r="K1183" s="121"/>
      <c r="L1183" s="121"/>
      <c r="M1183" s="121"/>
      <c r="N1183" s="121"/>
      <c r="O1183" s="121"/>
      <c r="P1183" s="121"/>
      <c r="Q1183" s="121"/>
      <c r="R1183" s="121"/>
      <c r="S1183" s="121"/>
      <c r="T1183" s="121"/>
      <c r="U1183" s="121"/>
      <c r="V1183" s="121"/>
      <c r="W1183" s="121"/>
      <c r="X1183" s="121"/>
      <c r="Y1183" s="121"/>
      <c r="Z1183" s="121"/>
      <c r="AA1183" s="121"/>
      <c r="AB1183" s="121"/>
    </row>
    <row r="1184" spans="2:29" ht="13.5" customHeight="1">
      <c r="B1184" s="98" t="str">
        <f>CONCATENATE("- Nr Dias: ",INFO!$C$20)</f>
        <v>- Nr Dias: 33</v>
      </c>
      <c r="C1184" s="121"/>
      <c r="D1184" s="121"/>
      <c r="E1184" s="121"/>
      <c r="F1184" s="121"/>
      <c r="G1184" s="121"/>
      <c r="H1184" s="121"/>
      <c r="I1184" s="121"/>
      <c r="J1184" s="121"/>
      <c r="K1184" s="121"/>
      <c r="L1184" s="121"/>
      <c r="M1184" s="121"/>
      <c r="N1184" s="121"/>
      <c r="O1184" s="121"/>
      <c r="P1184" s="121"/>
      <c r="Q1184" s="121"/>
      <c r="R1184" s="121"/>
      <c r="S1184" s="121"/>
      <c r="T1184" s="121"/>
      <c r="U1184" s="121"/>
      <c r="V1184" s="121"/>
      <c r="W1184" s="121"/>
      <c r="X1184" s="121"/>
      <c r="Y1184" s="121"/>
      <c r="Z1184" s="121"/>
      <c r="AA1184" s="121"/>
      <c r="AB1184" s="121"/>
    </row>
    <row r="1185" spans="2:29" ht="13.5" customHeight="1">
      <c r="B1185" s="98" t="e">
        <f>CONCATENATE("- Valor Estimado: R$ ",INDEX(QSGR!$J$16:$J$11170,AC1178))</f>
        <v>#N/A</v>
      </c>
      <c r="C1185" s="121"/>
      <c r="D1185" s="121"/>
      <c r="E1185" s="121"/>
      <c r="F1185" s="121"/>
      <c r="G1185" s="121"/>
      <c r="H1185" s="121"/>
      <c r="I1185" s="121"/>
      <c r="J1185" s="121"/>
      <c r="K1185" s="121"/>
      <c r="L1185" s="121"/>
      <c r="M1185" s="121"/>
      <c r="N1185" s="121"/>
      <c r="O1185" s="121"/>
      <c r="P1185" s="121"/>
      <c r="Q1185" s="121"/>
      <c r="R1185" s="121"/>
      <c r="S1185" s="121"/>
      <c r="T1185" s="121"/>
      <c r="U1185" s="121"/>
      <c r="V1185" s="121"/>
      <c r="W1185" s="121"/>
      <c r="X1185" s="121"/>
      <c r="Y1185" s="121"/>
      <c r="Z1185" s="121"/>
      <c r="AA1185" s="121"/>
      <c r="AB1185" s="121"/>
    </row>
    <row r="1186" spans="2:29" ht="13.5" customHeight="1">
      <c r="B1186" s="100"/>
      <c r="C1186" s="121"/>
      <c r="D1186" s="121"/>
      <c r="E1186" s="121"/>
      <c r="F1186" s="121"/>
      <c r="G1186" s="121"/>
      <c r="H1186" s="121"/>
      <c r="I1186" s="121"/>
      <c r="J1186" s="121"/>
      <c r="K1186" s="121"/>
      <c r="L1186" s="121"/>
      <c r="M1186" s="121"/>
      <c r="N1186" s="121"/>
      <c r="O1186" s="121"/>
      <c r="P1186" s="121"/>
      <c r="Q1186" s="121"/>
      <c r="R1186" s="121"/>
      <c r="S1186" s="121"/>
      <c r="T1186" s="121"/>
      <c r="U1186" s="121"/>
      <c r="V1186" s="121"/>
      <c r="W1186" s="121"/>
      <c r="X1186" s="121"/>
      <c r="Y1186" s="121"/>
      <c r="Z1186" s="121"/>
      <c r="AA1186" s="121"/>
      <c r="AB1186" s="121"/>
    </row>
    <row r="1187" spans="2:29" ht="13.5" customHeight="1">
      <c r="B1187" s="98" t="s">
        <v>55</v>
      </c>
      <c r="C1187" s="121"/>
      <c r="D1187" s="121"/>
      <c r="E1187" s="121"/>
      <c r="F1187" s="121"/>
      <c r="G1187" s="121"/>
      <c r="H1187" s="121"/>
      <c r="I1187" s="121"/>
      <c r="J1187" s="121"/>
      <c r="K1187" s="121"/>
      <c r="L1187" s="121"/>
      <c r="M1187" s="121"/>
      <c r="N1187" s="121"/>
      <c r="O1187" s="121"/>
      <c r="P1187" s="121"/>
      <c r="Q1187" s="121"/>
      <c r="R1187" s="121"/>
      <c r="S1187" s="121"/>
      <c r="T1187" s="121"/>
      <c r="U1187" s="121"/>
      <c r="V1187" s="121"/>
      <c r="W1187" s="121"/>
      <c r="X1187" s="121"/>
      <c r="Y1187" s="121"/>
      <c r="Z1187" s="121"/>
      <c r="AA1187" s="121"/>
      <c r="AB1187" s="121"/>
      <c r="AC1187" s="37">
        <f>AC1178+1</f>
        <v>132</v>
      </c>
    </row>
    <row r="1188" spans="2:29" ht="13.5" customHeight="1">
      <c r="B1188" s="99">
        <f>INDEX(QSGR!$B$16:$B$1570,AC1187)</f>
        <v>0</v>
      </c>
      <c r="C1188" s="121"/>
      <c r="D1188" s="121"/>
      <c r="E1188" s="97">
        <f>INDEX(QSGR!$D$16:$D$11170,AC1187)</f>
        <v>0</v>
      </c>
      <c r="F1188" s="121"/>
      <c r="G1188" s="121"/>
      <c r="H1188" s="121"/>
      <c r="I1188" s="121"/>
      <c r="J1188" s="121"/>
      <c r="K1188" s="121"/>
      <c r="L1188" s="121"/>
      <c r="M1188" s="121"/>
      <c r="N1188" s="121"/>
      <c r="O1188" s="121"/>
      <c r="P1188" s="121"/>
      <c r="Q1188" s="121"/>
      <c r="R1188" s="121"/>
      <c r="S1188" s="121"/>
      <c r="T1188" s="121"/>
      <c r="U1188" s="121"/>
      <c r="V1188" s="121"/>
      <c r="W1188" s="121"/>
      <c r="X1188" s="121"/>
      <c r="Y1188" s="121"/>
      <c r="Z1188" s="121"/>
      <c r="AA1188" s="121"/>
      <c r="AB1188" s="121"/>
    </row>
    <row r="1189" spans="2:29" ht="13.5" customHeight="1">
      <c r="B1189" s="96" t="str">
        <f>CONCATENATE("- Evento: ",INFO!$B$22)</f>
        <v>- Evento: PARTICIPAR DA OPERAÇÃO HORUS.</v>
      </c>
      <c r="C1189" s="121"/>
      <c r="D1189" s="121"/>
      <c r="E1189" s="121"/>
      <c r="F1189" s="121"/>
      <c r="G1189" s="121"/>
      <c r="H1189" s="121"/>
      <c r="I1189" s="121"/>
      <c r="J1189" s="121"/>
      <c r="K1189" s="121"/>
      <c r="L1189" s="121"/>
      <c r="M1189" s="121"/>
      <c r="N1189" s="121"/>
      <c r="O1189" s="121"/>
      <c r="P1189" s="121"/>
      <c r="Q1189" s="121"/>
      <c r="R1189" s="121"/>
      <c r="S1189" s="121"/>
      <c r="T1189" s="121"/>
      <c r="U1189" s="121"/>
      <c r="V1189" s="121"/>
      <c r="W1189" s="121"/>
      <c r="X1189" s="121"/>
      <c r="Y1189" s="121"/>
      <c r="Z1189" s="121"/>
      <c r="AA1189" s="121"/>
      <c r="AB1189" s="121"/>
    </row>
    <row r="1190" spans="2:29" ht="13.5" customHeight="1">
      <c r="B1190" s="98" t="str">
        <f>CONCATENATE("- Documento de Solicitação: ",INFO!$B$24)</f>
        <v>- Documento de Solicitação: TESTE AZUL</v>
      </c>
      <c r="C1190" s="121"/>
      <c r="D1190" s="121"/>
      <c r="E1190" s="121"/>
      <c r="F1190" s="121"/>
      <c r="G1190" s="121"/>
      <c r="H1190" s="121"/>
      <c r="I1190" s="121"/>
      <c r="J1190" s="121"/>
      <c r="K1190" s="121"/>
      <c r="L1190" s="121"/>
      <c r="M1190" s="121"/>
      <c r="N1190" s="121"/>
      <c r="O1190" s="121"/>
      <c r="P1190" s="121"/>
      <c r="Q1190" s="121"/>
      <c r="R1190" s="121"/>
      <c r="S1190" s="121"/>
      <c r="T1190" s="121"/>
      <c r="U1190" s="121"/>
      <c r="V1190" s="121"/>
      <c r="W1190" s="121"/>
      <c r="X1190" s="121"/>
      <c r="Y1190" s="121"/>
      <c r="Z1190" s="121"/>
      <c r="AA1190" s="121"/>
      <c r="AB1190" s="121"/>
    </row>
    <row r="1191" spans="2:29" ht="13.5" customHeight="1">
      <c r="B1191" s="98" t="str">
        <f>CONCATENATE("- Local: ",INFO!$C$18)</f>
        <v>- Local: GUAIRA - PR</v>
      </c>
      <c r="C1191" s="121"/>
      <c r="D1191" s="121"/>
      <c r="E1191" s="121"/>
      <c r="F1191" s="121"/>
      <c r="G1191" s="121"/>
      <c r="H1191" s="121"/>
      <c r="I1191" s="121"/>
      <c r="J1191" s="121"/>
      <c r="K1191" s="121"/>
      <c r="L1191" s="121"/>
      <c r="M1191" s="121"/>
      <c r="N1191" s="121"/>
      <c r="O1191" s="121"/>
      <c r="P1191" s="121"/>
      <c r="Q1191" s="121"/>
      <c r="R1191" s="121"/>
      <c r="S1191" s="121"/>
      <c r="T1191" s="121"/>
      <c r="U1191" s="121"/>
      <c r="V1191" s="121"/>
      <c r="W1191" s="121"/>
      <c r="X1191" s="121"/>
      <c r="Y1191" s="121"/>
      <c r="Z1191" s="121"/>
      <c r="AA1191" s="121"/>
      <c r="AB1191" s="121"/>
    </row>
    <row r="1192" spans="2:29" ht="13.5" customHeight="1">
      <c r="B1192" s="98" t="str">
        <f>CONCATENATE("- Periodo: ",INFO!$C$10," a ",INFO!$C$19)</f>
        <v xml:space="preserve">- Periodo: 22/7/2025  a 23/8/2025 </v>
      </c>
      <c r="C1192" s="121"/>
      <c r="D1192" s="121"/>
      <c r="E1192" s="121"/>
      <c r="F1192" s="121"/>
      <c r="G1192" s="121"/>
      <c r="H1192" s="121"/>
      <c r="I1192" s="121"/>
      <c r="J1192" s="121"/>
      <c r="K1192" s="121"/>
      <c r="L1192" s="121"/>
      <c r="M1192" s="121"/>
      <c r="N1192" s="121"/>
      <c r="O1192" s="121"/>
      <c r="P1192" s="121"/>
      <c r="Q1192" s="121"/>
      <c r="R1192" s="121"/>
      <c r="S1192" s="121"/>
      <c r="T1192" s="121"/>
      <c r="U1192" s="121"/>
      <c r="V1192" s="121"/>
      <c r="W1192" s="121"/>
      <c r="X1192" s="121"/>
      <c r="Y1192" s="121"/>
      <c r="Z1192" s="121"/>
      <c r="AA1192" s="121"/>
      <c r="AB1192" s="121"/>
    </row>
    <row r="1193" spans="2:29" ht="13.5" customHeight="1">
      <c r="B1193" s="98" t="str">
        <f>CONCATENATE("- Nr Dias: ",INFO!$C$20)</f>
        <v>- Nr Dias: 33</v>
      </c>
      <c r="C1193" s="121"/>
      <c r="D1193" s="121"/>
      <c r="E1193" s="121"/>
      <c r="F1193" s="121"/>
      <c r="G1193" s="121"/>
      <c r="H1193" s="121"/>
      <c r="I1193" s="121"/>
      <c r="J1193" s="121"/>
      <c r="K1193" s="121"/>
      <c r="L1193" s="121"/>
      <c r="M1193" s="121"/>
      <c r="N1193" s="121"/>
      <c r="O1193" s="121"/>
      <c r="P1193" s="121"/>
      <c r="Q1193" s="121"/>
      <c r="R1193" s="121"/>
      <c r="S1193" s="121"/>
      <c r="T1193" s="121"/>
      <c r="U1193" s="121"/>
      <c r="V1193" s="121"/>
      <c r="W1193" s="121"/>
      <c r="X1193" s="121"/>
      <c r="Y1193" s="121"/>
      <c r="Z1193" s="121"/>
      <c r="AA1193" s="121"/>
      <c r="AB1193" s="121"/>
    </row>
    <row r="1194" spans="2:29" ht="13.5" customHeight="1">
      <c r="B1194" s="98" t="e">
        <f>CONCATENATE("- Valor Estimado: R$ ",INDEX(QSGR!$J$16:$J$11170,AC1187))</f>
        <v>#N/A</v>
      </c>
      <c r="C1194" s="121"/>
      <c r="D1194" s="121"/>
      <c r="E1194" s="121"/>
      <c r="F1194" s="121"/>
      <c r="G1194" s="121"/>
      <c r="H1194" s="121"/>
      <c r="I1194" s="121"/>
      <c r="J1194" s="121"/>
      <c r="K1194" s="121"/>
      <c r="L1194" s="121"/>
      <c r="M1194" s="121"/>
      <c r="N1194" s="121"/>
      <c r="O1194" s="121"/>
      <c r="P1194" s="121"/>
      <c r="Q1194" s="121"/>
      <c r="R1194" s="121"/>
      <c r="S1194" s="121"/>
      <c r="T1194" s="121"/>
      <c r="U1194" s="121"/>
      <c r="V1194" s="121"/>
      <c r="W1194" s="121"/>
      <c r="X1194" s="121"/>
      <c r="Y1194" s="121"/>
      <c r="Z1194" s="121"/>
      <c r="AA1194" s="121"/>
      <c r="AB1194" s="121"/>
    </row>
    <row r="1195" spans="2:29" ht="13.5" customHeight="1">
      <c r="B1195" s="100"/>
      <c r="C1195" s="121"/>
      <c r="D1195" s="121"/>
      <c r="E1195" s="121"/>
      <c r="F1195" s="121"/>
      <c r="G1195" s="121"/>
      <c r="H1195" s="121"/>
      <c r="I1195" s="121"/>
      <c r="J1195" s="121"/>
      <c r="K1195" s="121"/>
      <c r="L1195" s="121"/>
      <c r="M1195" s="121"/>
      <c r="N1195" s="121"/>
      <c r="O1195" s="121"/>
      <c r="P1195" s="121"/>
      <c r="Q1195" s="121"/>
      <c r="R1195" s="121"/>
      <c r="S1195" s="121"/>
      <c r="T1195" s="121"/>
      <c r="U1195" s="121"/>
      <c r="V1195" s="121"/>
      <c r="W1195" s="121"/>
      <c r="X1195" s="121"/>
      <c r="Y1195" s="121"/>
      <c r="Z1195" s="121"/>
      <c r="AA1195" s="121"/>
      <c r="AB1195" s="121"/>
    </row>
    <row r="1196" spans="2:29" ht="13.5" customHeight="1">
      <c r="B1196" s="98" t="s">
        <v>55</v>
      </c>
      <c r="C1196" s="121"/>
      <c r="D1196" s="121"/>
      <c r="E1196" s="121"/>
      <c r="F1196" s="121"/>
      <c r="G1196" s="121"/>
      <c r="H1196" s="121"/>
      <c r="I1196" s="121"/>
      <c r="J1196" s="121"/>
      <c r="K1196" s="121"/>
      <c r="L1196" s="121"/>
      <c r="M1196" s="121"/>
      <c r="N1196" s="121"/>
      <c r="O1196" s="121"/>
      <c r="P1196" s="121"/>
      <c r="Q1196" s="121"/>
      <c r="R1196" s="121"/>
      <c r="S1196" s="121"/>
      <c r="T1196" s="121"/>
      <c r="U1196" s="121"/>
      <c r="V1196" s="121"/>
      <c r="W1196" s="121"/>
      <c r="X1196" s="121"/>
      <c r="Y1196" s="121"/>
      <c r="Z1196" s="121"/>
      <c r="AA1196" s="121"/>
      <c r="AB1196" s="121"/>
      <c r="AC1196" s="37">
        <f>AC1187+1</f>
        <v>133</v>
      </c>
    </row>
    <row r="1197" spans="2:29" ht="13.5" customHeight="1">
      <c r="B1197" s="99">
        <f>INDEX(QSGR!$B$16:$B$1570,AC1196)</f>
        <v>0</v>
      </c>
      <c r="C1197" s="121"/>
      <c r="D1197" s="121"/>
      <c r="E1197" s="97">
        <f>INDEX(QSGR!$D$16:$D$11170,AC1196)</f>
        <v>0</v>
      </c>
      <c r="F1197" s="121"/>
      <c r="G1197" s="121"/>
      <c r="H1197" s="121"/>
      <c r="I1197" s="121"/>
      <c r="J1197" s="121"/>
      <c r="K1197" s="121"/>
      <c r="L1197" s="121"/>
      <c r="M1197" s="121"/>
      <c r="N1197" s="121"/>
      <c r="O1197" s="121"/>
      <c r="P1197" s="121"/>
      <c r="Q1197" s="121"/>
      <c r="R1197" s="121"/>
      <c r="S1197" s="121"/>
      <c r="T1197" s="121"/>
      <c r="U1197" s="121"/>
      <c r="V1197" s="121"/>
      <c r="W1197" s="121"/>
      <c r="X1197" s="121"/>
      <c r="Y1197" s="121"/>
      <c r="Z1197" s="121"/>
      <c r="AA1197" s="121"/>
      <c r="AB1197" s="121"/>
    </row>
    <row r="1198" spans="2:29" ht="13.5" customHeight="1">
      <c r="B1198" s="96" t="str">
        <f>CONCATENATE("- Evento: ",INFO!$B$22)</f>
        <v>- Evento: PARTICIPAR DA OPERAÇÃO HORUS.</v>
      </c>
      <c r="C1198" s="121"/>
      <c r="D1198" s="121"/>
      <c r="E1198" s="121"/>
      <c r="F1198" s="121"/>
      <c r="G1198" s="121"/>
      <c r="H1198" s="121"/>
      <c r="I1198" s="121"/>
      <c r="J1198" s="121"/>
      <c r="K1198" s="121"/>
      <c r="L1198" s="121"/>
      <c r="M1198" s="121"/>
      <c r="N1198" s="121"/>
      <c r="O1198" s="121"/>
      <c r="P1198" s="121"/>
      <c r="Q1198" s="121"/>
      <c r="R1198" s="121"/>
      <c r="S1198" s="121"/>
      <c r="T1198" s="121"/>
      <c r="U1198" s="121"/>
      <c r="V1198" s="121"/>
      <c r="W1198" s="121"/>
      <c r="X1198" s="121"/>
      <c r="Y1198" s="121"/>
      <c r="Z1198" s="121"/>
      <c r="AA1198" s="121"/>
      <c r="AB1198" s="121"/>
    </row>
    <row r="1199" spans="2:29" ht="13.5" customHeight="1">
      <c r="B1199" s="98" t="str">
        <f>CONCATENATE("- Documento de Solicitação: ",INFO!$B$24)</f>
        <v>- Documento de Solicitação: TESTE AZUL</v>
      </c>
      <c r="C1199" s="121"/>
      <c r="D1199" s="121"/>
      <c r="E1199" s="121"/>
      <c r="F1199" s="121"/>
      <c r="G1199" s="121"/>
      <c r="H1199" s="121"/>
      <c r="I1199" s="121"/>
      <c r="J1199" s="121"/>
      <c r="K1199" s="121"/>
      <c r="L1199" s="121"/>
      <c r="M1199" s="121"/>
      <c r="N1199" s="121"/>
      <c r="O1199" s="121"/>
      <c r="P1199" s="121"/>
      <c r="Q1199" s="121"/>
      <c r="R1199" s="121"/>
      <c r="S1199" s="121"/>
      <c r="T1199" s="121"/>
      <c r="U1199" s="121"/>
      <c r="V1199" s="121"/>
      <c r="W1199" s="121"/>
      <c r="X1199" s="121"/>
      <c r="Y1199" s="121"/>
      <c r="Z1199" s="121"/>
      <c r="AA1199" s="121"/>
      <c r="AB1199" s="121"/>
    </row>
    <row r="1200" spans="2:29" ht="13.5" customHeight="1">
      <c r="B1200" s="98" t="str">
        <f>CONCATENATE("- Local: ",INFO!$C$18)</f>
        <v>- Local: GUAIRA - PR</v>
      </c>
      <c r="C1200" s="121"/>
      <c r="D1200" s="121"/>
      <c r="E1200" s="121"/>
      <c r="F1200" s="121"/>
      <c r="G1200" s="121"/>
      <c r="H1200" s="121"/>
      <c r="I1200" s="121"/>
      <c r="J1200" s="121"/>
      <c r="K1200" s="121"/>
      <c r="L1200" s="121"/>
      <c r="M1200" s="121"/>
      <c r="N1200" s="121"/>
      <c r="O1200" s="121"/>
      <c r="P1200" s="121"/>
      <c r="Q1200" s="121"/>
      <c r="R1200" s="121"/>
      <c r="S1200" s="121"/>
      <c r="T1200" s="121"/>
      <c r="U1200" s="121"/>
      <c r="V1200" s="121"/>
      <c r="W1200" s="121"/>
      <c r="X1200" s="121"/>
      <c r="Y1200" s="121"/>
      <c r="Z1200" s="121"/>
      <c r="AA1200" s="121"/>
      <c r="AB1200" s="121"/>
    </row>
    <row r="1201" spans="2:29" ht="13.5" customHeight="1">
      <c r="B1201" s="98" t="str">
        <f>CONCATENATE("- Periodo: ",INFO!$C$10," a ",INFO!$C$19)</f>
        <v xml:space="preserve">- Periodo: 22/7/2025  a 23/8/2025 </v>
      </c>
      <c r="C1201" s="121"/>
      <c r="D1201" s="121"/>
      <c r="E1201" s="121"/>
      <c r="F1201" s="121"/>
      <c r="G1201" s="121"/>
      <c r="H1201" s="121"/>
      <c r="I1201" s="121"/>
      <c r="J1201" s="121"/>
      <c r="K1201" s="121"/>
      <c r="L1201" s="121"/>
      <c r="M1201" s="121"/>
      <c r="N1201" s="121"/>
      <c r="O1201" s="121"/>
      <c r="P1201" s="121"/>
      <c r="Q1201" s="121"/>
      <c r="R1201" s="121"/>
      <c r="S1201" s="121"/>
      <c r="T1201" s="121"/>
      <c r="U1201" s="121"/>
      <c r="V1201" s="121"/>
      <c r="W1201" s="121"/>
      <c r="X1201" s="121"/>
      <c r="Y1201" s="121"/>
      <c r="Z1201" s="121"/>
      <c r="AA1201" s="121"/>
      <c r="AB1201" s="121"/>
    </row>
    <row r="1202" spans="2:29" ht="13.5" customHeight="1">
      <c r="B1202" s="98" t="str">
        <f>CONCATENATE("- Nr Dias: ",INFO!$C$20)</f>
        <v>- Nr Dias: 33</v>
      </c>
      <c r="C1202" s="121"/>
      <c r="D1202" s="121"/>
      <c r="E1202" s="121"/>
      <c r="F1202" s="121"/>
      <c r="G1202" s="121"/>
      <c r="H1202" s="121"/>
      <c r="I1202" s="121"/>
      <c r="J1202" s="121"/>
      <c r="K1202" s="121"/>
      <c r="L1202" s="121"/>
      <c r="M1202" s="121"/>
      <c r="N1202" s="121"/>
      <c r="O1202" s="121"/>
      <c r="P1202" s="121"/>
      <c r="Q1202" s="121"/>
      <c r="R1202" s="121"/>
      <c r="S1202" s="121"/>
      <c r="T1202" s="121"/>
      <c r="U1202" s="121"/>
      <c r="V1202" s="121"/>
      <c r="W1202" s="121"/>
      <c r="X1202" s="121"/>
      <c r="Y1202" s="121"/>
      <c r="Z1202" s="121"/>
      <c r="AA1202" s="121"/>
      <c r="AB1202" s="121"/>
    </row>
    <row r="1203" spans="2:29" ht="13.5" customHeight="1">
      <c r="B1203" s="98" t="e">
        <f>CONCATENATE("- Valor Estimado: R$ ",INDEX(QSGR!$J$16:$J$11170,AC1196))</f>
        <v>#N/A</v>
      </c>
      <c r="C1203" s="121"/>
      <c r="D1203" s="121"/>
      <c r="E1203" s="121"/>
      <c r="F1203" s="121"/>
      <c r="G1203" s="121"/>
      <c r="H1203" s="121"/>
      <c r="I1203" s="121"/>
      <c r="J1203" s="121"/>
      <c r="K1203" s="121"/>
      <c r="L1203" s="121"/>
      <c r="M1203" s="121"/>
      <c r="N1203" s="121"/>
      <c r="O1203" s="121"/>
      <c r="P1203" s="121"/>
      <c r="Q1203" s="121"/>
      <c r="R1203" s="121"/>
      <c r="S1203" s="121"/>
      <c r="T1203" s="121"/>
      <c r="U1203" s="121"/>
      <c r="V1203" s="121"/>
      <c r="W1203" s="121"/>
      <c r="X1203" s="121"/>
      <c r="Y1203" s="121"/>
      <c r="Z1203" s="121"/>
      <c r="AA1203" s="121"/>
      <c r="AB1203" s="121"/>
    </row>
    <row r="1204" spans="2:29" ht="13.5" customHeight="1">
      <c r="B1204" s="100"/>
      <c r="C1204" s="121"/>
      <c r="D1204" s="121"/>
      <c r="E1204" s="121"/>
      <c r="F1204" s="121"/>
      <c r="G1204" s="121"/>
      <c r="H1204" s="121"/>
      <c r="I1204" s="121"/>
      <c r="J1204" s="121"/>
      <c r="K1204" s="121"/>
      <c r="L1204" s="121"/>
      <c r="M1204" s="121"/>
      <c r="N1204" s="121"/>
      <c r="O1204" s="121"/>
      <c r="P1204" s="121"/>
      <c r="Q1204" s="121"/>
      <c r="R1204" s="121"/>
      <c r="S1204" s="121"/>
      <c r="T1204" s="121"/>
      <c r="U1204" s="121"/>
      <c r="V1204" s="121"/>
      <c r="W1204" s="121"/>
      <c r="X1204" s="121"/>
      <c r="Y1204" s="121"/>
      <c r="Z1204" s="121"/>
      <c r="AA1204" s="121"/>
      <c r="AB1204" s="121"/>
    </row>
    <row r="1205" spans="2:29" ht="13.5" customHeight="1">
      <c r="B1205" s="98" t="s">
        <v>55</v>
      </c>
      <c r="C1205" s="121"/>
      <c r="D1205" s="121"/>
      <c r="E1205" s="121"/>
      <c r="F1205" s="121"/>
      <c r="G1205" s="121"/>
      <c r="H1205" s="121"/>
      <c r="I1205" s="121"/>
      <c r="J1205" s="121"/>
      <c r="K1205" s="121"/>
      <c r="L1205" s="121"/>
      <c r="M1205" s="121"/>
      <c r="N1205" s="121"/>
      <c r="O1205" s="121"/>
      <c r="P1205" s="121"/>
      <c r="Q1205" s="121"/>
      <c r="R1205" s="121"/>
      <c r="S1205" s="121"/>
      <c r="T1205" s="121"/>
      <c r="U1205" s="121"/>
      <c r="V1205" s="121"/>
      <c r="W1205" s="121"/>
      <c r="X1205" s="121"/>
      <c r="Y1205" s="121"/>
      <c r="Z1205" s="121"/>
      <c r="AA1205" s="121"/>
      <c r="AB1205" s="121"/>
      <c r="AC1205" s="37">
        <f>AC1196+1</f>
        <v>134</v>
      </c>
    </row>
    <row r="1206" spans="2:29" ht="13.5" customHeight="1">
      <c r="B1206" s="99">
        <f>INDEX(QSGR!$B$16:$B$1570,AC1205)</f>
        <v>0</v>
      </c>
      <c r="C1206" s="121"/>
      <c r="D1206" s="121"/>
      <c r="E1206" s="97">
        <f>INDEX(QSGR!$D$16:$D$11170,AC1205)</f>
        <v>0</v>
      </c>
      <c r="F1206" s="121"/>
      <c r="G1206" s="121"/>
      <c r="H1206" s="121"/>
      <c r="I1206" s="121"/>
      <c r="J1206" s="121"/>
      <c r="K1206" s="121"/>
      <c r="L1206" s="121"/>
      <c r="M1206" s="121"/>
      <c r="N1206" s="121"/>
      <c r="O1206" s="121"/>
      <c r="P1206" s="121"/>
      <c r="Q1206" s="121"/>
      <c r="R1206" s="121"/>
      <c r="S1206" s="121"/>
      <c r="T1206" s="121"/>
      <c r="U1206" s="121"/>
      <c r="V1206" s="121"/>
      <c r="W1206" s="121"/>
      <c r="X1206" s="121"/>
      <c r="Y1206" s="121"/>
      <c r="Z1206" s="121"/>
      <c r="AA1206" s="121"/>
      <c r="AB1206" s="121"/>
    </row>
    <row r="1207" spans="2:29" ht="13.5" customHeight="1">
      <c r="B1207" s="96" t="str">
        <f>CONCATENATE("- Evento: ",INFO!$B$22)</f>
        <v>- Evento: PARTICIPAR DA OPERAÇÃO HORUS.</v>
      </c>
      <c r="C1207" s="121"/>
      <c r="D1207" s="121"/>
      <c r="E1207" s="121"/>
      <c r="F1207" s="121"/>
      <c r="G1207" s="121"/>
      <c r="H1207" s="121"/>
      <c r="I1207" s="121"/>
      <c r="J1207" s="121"/>
      <c r="K1207" s="121"/>
      <c r="L1207" s="121"/>
      <c r="M1207" s="121"/>
      <c r="N1207" s="121"/>
      <c r="O1207" s="121"/>
      <c r="P1207" s="121"/>
      <c r="Q1207" s="121"/>
      <c r="R1207" s="121"/>
      <c r="S1207" s="121"/>
      <c r="T1207" s="121"/>
      <c r="U1207" s="121"/>
      <c r="V1207" s="121"/>
      <c r="W1207" s="121"/>
      <c r="X1207" s="121"/>
      <c r="Y1207" s="121"/>
      <c r="Z1207" s="121"/>
      <c r="AA1207" s="121"/>
      <c r="AB1207" s="121"/>
    </row>
    <row r="1208" spans="2:29" ht="13.5" customHeight="1">
      <c r="B1208" s="98" t="str">
        <f>CONCATENATE("- Documento de Solicitação: ",INFO!$B$24)</f>
        <v>- Documento de Solicitação: TESTE AZUL</v>
      </c>
      <c r="C1208" s="121"/>
      <c r="D1208" s="121"/>
      <c r="E1208" s="121"/>
      <c r="F1208" s="121"/>
      <c r="G1208" s="121"/>
      <c r="H1208" s="121"/>
      <c r="I1208" s="121"/>
      <c r="J1208" s="121"/>
      <c r="K1208" s="121"/>
      <c r="L1208" s="121"/>
      <c r="M1208" s="121"/>
      <c r="N1208" s="121"/>
      <c r="O1208" s="121"/>
      <c r="P1208" s="121"/>
      <c r="Q1208" s="121"/>
      <c r="R1208" s="121"/>
      <c r="S1208" s="121"/>
      <c r="T1208" s="121"/>
      <c r="U1208" s="121"/>
      <c r="V1208" s="121"/>
      <c r="W1208" s="121"/>
      <c r="X1208" s="121"/>
      <c r="Y1208" s="121"/>
      <c r="Z1208" s="121"/>
      <c r="AA1208" s="121"/>
      <c r="AB1208" s="121"/>
    </row>
    <row r="1209" spans="2:29" ht="13.5" customHeight="1">
      <c r="B1209" s="98" t="str">
        <f>CONCATENATE("- Local: ",INFO!$C$18)</f>
        <v>- Local: GUAIRA - PR</v>
      </c>
      <c r="C1209" s="121"/>
      <c r="D1209" s="121"/>
      <c r="E1209" s="121"/>
      <c r="F1209" s="121"/>
      <c r="G1209" s="121"/>
      <c r="H1209" s="121"/>
      <c r="I1209" s="121"/>
      <c r="J1209" s="121"/>
      <c r="K1209" s="121"/>
      <c r="L1209" s="121"/>
      <c r="M1209" s="121"/>
      <c r="N1209" s="121"/>
      <c r="O1209" s="121"/>
      <c r="P1209" s="121"/>
      <c r="Q1209" s="121"/>
      <c r="R1209" s="121"/>
      <c r="S1209" s="121"/>
      <c r="T1209" s="121"/>
      <c r="U1209" s="121"/>
      <c r="V1209" s="121"/>
      <c r="W1209" s="121"/>
      <c r="X1209" s="121"/>
      <c r="Y1209" s="121"/>
      <c r="Z1209" s="121"/>
      <c r="AA1209" s="121"/>
      <c r="AB1209" s="121"/>
    </row>
    <row r="1210" spans="2:29" ht="13.5" customHeight="1">
      <c r="B1210" s="98" t="str">
        <f>CONCATENATE("- Periodo: ",INFO!$C$10," a ",INFO!$C$19)</f>
        <v xml:space="preserve">- Periodo: 22/7/2025  a 23/8/2025 </v>
      </c>
      <c r="C1210" s="121"/>
      <c r="D1210" s="121"/>
      <c r="E1210" s="121"/>
      <c r="F1210" s="121"/>
      <c r="G1210" s="121"/>
      <c r="H1210" s="121"/>
      <c r="I1210" s="121"/>
      <c r="J1210" s="121"/>
      <c r="K1210" s="121"/>
      <c r="L1210" s="121"/>
      <c r="M1210" s="121"/>
      <c r="N1210" s="121"/>
      <c r="O1210" s="121"/>
      <c r="P1210" s="121"/>
      <c r="Q1210" s="121"/>
      <c r="R1210" s="121"/>
      <c r="S1210" s="121"/>
      <c r="T1210" s="121"/>
      <c r="U1210" s="121"/>
      <c r="V1210" s="121"/>
      <c r="W1210" s="121"/>
      <c r="X1210" s="121"/>
      <c r="Y1210" s="121"/>
      <c r="Z1210" s="121"/>
      <c r="AA1210" s="121"/>
      <c r="AB1210" s="121"/>
    </row>
    <row r="1211" spans="2:29" ht="13.5" customHeight="1">
      <c r="B1211" s="98" t="str">
        <f>CONCATENATE("- Nr Dias: ",INFO!$C$20)</f>
        <v>- Nr Dias: 33</v>
      </c>
      <c r="C1211" s="121"/>
      <c r="D1211" s="121"/>
      <c r="E1211" s="121"/>
      <c r="F1211" s="121"/>
      <c r="G1211" s="121"/>
      <c r="H1211" s="121"/>
      <c r="I1211" s="121"/>
      <c r="J1211" s="121"/>
      <c r="K1211" s="121"/>
      <c r="L1211" s="121"/>
      <c r="M1211" s="121"/>
      <c r="N1211" s="121"/>
      <c r="O1211" s="121"/>
      <c r="P1211" s="121"/>
      <c r="Q1211" s="121"/>
      <c r="R1211" s="121"/>
      <c r="S1211" s="121"/>
      <c r="T1211" s="121"/>
      <c r="U1211" s="121"/>
      <c r="V1211" s="121"/>
      <c r="W1211" s="121"/>
      <c r="X1211" s="121"/>
      <c r="Y1211" s="121"/>
      <c r="Z1211" s="121"/>
      <c r="AA1211" s="121"/>
      <c r="AB1211" s="121"/>
    </row>
    <row r="1212" spans="2:29" ht="13.5" customHeight="1">
      <c r="B1212" s="98" t="e">
        <f>CONCATENATE("- Valor Estimado: R$ ",INDEX(QSGR!$J$16:$J$11170,AC1205))</f>
        <v>#N/A</v>
      </c>
      <c r="C1212" s="121"/>
      <c r="D1212" s="121"/>
      <c r="E1212" s="121"/>
      <c r="F1212" s="121"/>
      <c r="G1212" s="121"/>
      <c r="H1212" s="121"/>
      <c r="I1212" s="121"/>
      <c r="J1212" s="121"/>
      <c r="K1212" s="121"/>
      <c r="L1212" s="121"/>
      <c r="M1212" s="121"/>
      <c r="N1212" s="121"/>
      <c r="O1212" s="121"/>
      <c r="P1212" s="121"/>
      <c r="Q1212" s="121"/>
      <c r="R1212" s="121"/>
      <c r="S1212" s="121"/>
      <c r="T1212" s="121"/>
      <c r="U1212" s="121"/>
      <c r="V1212" s="121"/>
      <c r="W1212" s="121"/>
      <c r="X1212" s="121"/>
      <c r="Y1212" s="121"/>
      <c r="Z1212" s="121"/>
      <c r="AA1212" s="121"/>
      <c r="AB1212" s="121"/>
    </row>
    <row r="1213" spans="2:29" ht="13.5" customHeight="1">
      <c r="B1213" s="100"/>
      <c r="C1213" s="121"/>
      <c r="D1213" s="121"/>
      <c r="E1213" s="121"/>
      <c r="F1213" s="121"/>
      <c r="G1213" s="121"/>
      <c r="H1213" s="121"/>
      <c r="I1213" s="121"/>
      <c r="J1213" s="121"/>
      <c r="K1213" s="121"/>
      <c r="L1213" s="121"/>
      <c r="M1213" s="121"/>
      <c r="N1213" s="121"/>
      <c r="O1213" s="121"/>
      <c r="P1213" s="121"/>
      <c r="Q1213" s="121"/>
      <c r="R1213" s="121"/>
      <c r="S1213" s="121"/>
      <c r="T1213" s="121"/>
      <c r="U1213" s="121"/>
      <c r="V1213" s="121"/>
      <c r="W1213" s="121"/>
      <c r="X1213" s="121"/>
      <c r="Y1213" s="121"/>
      <c r="Z1213" s="121"/>
      <c r="AA1213" s="121"/>
      <c r="AB1213" s="121"/>
    </row>
    <row r="1214" spans="2:29" ht="13.5" customHeight="1">
      <c r="B1214" s="98" t="s">
        <v>55</v>
      </c>
      <c r="C1214" s="121"/>
      <c r="D1214" s="121"/>
      <c r="E1214" s="121"/>
      <c r="F1214" s="121"/>
      <c r="G1214" s="121"/>
      <c r="H1214" s="121"/>
      <c r="I1214" s="121"/>
      <c r="J1214" s="121"/>
      <c r="K1214" s="121"/>
      <c r="L1214" s="121"/>
      <c r="M1214" s="121"/>
      <c r="N1214" s="121"/>
      <c r="O1214" s="121"/>
      <c r="P1214" s="121"/>
      <c r="Q1214" s="121"/>
      <c r="R1214" s="121"/>
      <c r="S1214" s="121"/>
      <c r="T1214" s="121"/>
      <c r="U1214" s="121"/>
      <c r="V1214" s="121"/>
      <c r="W1214" s="121"/>
      <c r="X1214" s="121"/>
      <c r="Y1214" s="121"/>
      <c r="Z1214" s="121"/>
      <c r="AA1214" s="121"/>
      <c r="AB1214" s="121"/>
      <c r="AC1214" s="37">
        <f>AC1205+1</f>
        <v>135</v>
      </c>
    </row>
    <row r="1215" spans="2:29" ht="13.5" customHeight="1">
      <c r="B1215" s="99">
        <f>INDEX(QSGR!$B$16:$B$1570,AC1214)</f>
        <v>0</v>
      </c>
      <c r="C1215" s="121"/>
      <c r="D1215" s="121"/>
      <c r="E1215" s="97">
        <f>INDEX(QSGR!$D$16:$D$11170,AC1214)</f>
        <v>0</v>
      </c>
      <c r="F1215" s="121"/>
      <c r="G1215" s="121"/>
      <c r="H1215" s="121"/>
      <c r="I1215" s="121"/>
      <c r="J1215" s="121"/>
      <c r="K1215" s="121"/>
      <c r="L1215" s="121"/>
      <c r="M1215" s="121"/>
      <c r="N1215" s="121"/>
      <c r="O1215" s="121"/>
      <c r="P1215" s="121"/>
      <c r="Q1215" s="121"/>
      <c r="R1215" s="121"/>
      <c r="S1215" s="121"/>
      <c r="T1215" s="121"/>
      <c r="U1215" s="121"/>
      <c r="V1215" s="121"/>
      <c r="W1215" s="121"/>
      <c r="X1215" s="121"/>
      <c r="Y1215" s="121"/>
      <c r="Z1215" s="121"/>
      <c r="AA1215" s="121"/>
      <c r="AB1215" s="121"/>
    </row>
    <row r="1216" spans="2:29" ht="13.5" customHeight="1">
      <c r="B1216" s="96" t="str">
        <f>CONCATENATE("- Evento: ",INFO!$B$22)</f>
        <v>- Evento: PARTICIPAR DA OPERAÇÃO HORUS.</v>
      </c>
      <c r="C1216" s="121"/>
      <c r="D1216" s="121"/>
      <c r="E1216" s="121"/>
      <c r="F1216" s="121"/>
      <c r="G1216" s="121"/>
      <c r="H1216" s="121"/>
      <c r="I1216" s="121"/>
      <c r="J1216" s="121"/>
      <c r="K1216" s="121"/>
      <c r="L1216" s="121"/>
      <c r="M1216" s="121"/>
      <c r="N1216" s="121"/>
      <c r="O1216" s="121"/>
      <c r="P1216" s="121"/>
      <c r="Q1216" s="121"/>
      <c r="R1216" s="121"/>
      <c r="S1216" s="121"/>
      <c r="T1216" s="121"/>
      <c r="U1216" s="121"/>
      <c r="V1216" s="121"/>
      <c r="W1216" s="121"/>
      <c r="X1216" s="121"/>
      <c r="Y1216" s="121"/>
      <c r="Z1216" s="121"/>
      <c r="AA1216" s="121"/>
      <c r="AB1216" s="121"/>
    </row>
    <row r="1217" spans="2:29" ht="13.5" customHeight="1">
      <c r="B1217" s="98" t="str">
        <f>CONCATENATE("- Documento de Solicitação: ",INFO!$B$24)</f>
        <v>- Documento de Solicitação: TESTE AZUL</v>
      </c>
      <c r="C1217" s="121"/>
      <c r="D1217" s="121"/>
      <c r="E1217" s="121"/>
      <c r="F1217" s="121"/>
      <c r="G1217" s="121"/>
      <c r="H1217" s="121"/>
      <c r="I1217" s="121"/>
      <c r="J1217" s="121"/>
      <c r="K1217" s="121"/>
      <c r="L1217" s="121"/>
      <c r="M1217" s="121"/>
      <c r="N1217" s="121"/>
      <c r="O1217" s="121"/>
      <c r="P1217" s="121"/>
      <c r="Q1217" s="121"/>
      <c r="R1217" s="121"/>
      <c r="S1217" s="121"/>
      <c r="T1217" s="121"/>
      <c r="U1217" s="121"/>
      <c r="V1217" s="121"/>
      <c r="W1217" s="121"/>
      <c r="X1217" s="121"/>
      <c r="Y1217" s="121"/>
      <c r="Z1217" s="121"/>
      <c r="AA1217" s="121"/>
      <c r="AB1217" s="121"/>
    </row>
    <row r="1218" spans="2:29" ht="13.5" customHeight="1">
      <c r="B1218" s="98" t="str">
        <f>CONCATENATE("- Local: ",INFO!$C$18)</f>
        <v>- Local: GUAIRA - PR</v>
      </c>
      <c r="C1218" s="121"/>
      <c r="D1218" s="121"/>
      <c r="E1218" s="121"/>
      <c r="F1218" s="121"/>
      <c r="G1218" s="121"/>
      <c r="H1218" s="121"/>
      <c r="I1218" s="121"/>
      <c r="J1218" s="121"/>
      <c r="K1218" s="121"/>
      <c r="L1218" s="121"/>
      <c r="M1218" s="121"/>
      <c r="N1218" s="121"/>
      <c r="O1218" s="121"/>
      <c r="P1218" s="121"/>
      <c r="Q1218" s="121"/>
      <c r="R1218" s="121"/>
      <c r="S1218" s="121"/>
      <c r="T1218" s="121"/>
      <c r="U1218" s="121"/>
      <c r="V1218" s="121"/>
      <c r="W1218" s="121"/>
      <c r="X1218" s="121"/>
      <c r="Y1218" s="121"/>
      <c r="Z1218" s="121"/>
      <c r="AA1218" s="121"/>
      <c r="AB1218" s="121"/>
    </row>
    <row r="1219" spans="2:29" ht="13.5" customHeight="1">
      <c r="B1219" s="98" t="str">
        <f>CONCATENATE("- Periodo: ",INFO!$C$10," a ",INFO!$C$19)</f>
        <v xml:space="preserve">- Periodo: 22/7/2025  a 23/8/2025 </v>
      </c>
      <c r="C1219" s="121"/>
      <c r="D1219" s="121"/>
      <c r="E1219" s="121"/>
      <c r="F1219" s="121"/>
      <c r="G1219" s="121"/>
      <c r="H1219" s="121"/>
      <c r="I1219" s="121"/>
      <c r="J1219" s="121"/>
      <c r="K1219" s="121"/>
      <c r="L1219" s="121"/>
      <c r="M1219" s="121"/>
      <c r="N1219" s="121"/>
      <c r="O1219" s="121"/>
      <c r="P1219" s="121"/>
      <c r="Q1219" s="121"/>
      <c r="R1219" s="121"/>
      <c r="S1219" s="121"/>
      <c r="T1219" s="121"/>
      <c r="U1219" s="121"/>
      <c r="V1219" s="121"/>
      <c r="W1219" s="121"/>
      <c r="X1219" s="121"/>
      <c r="Y1219" s="121"/>
      <c r="Z1219" s="121"/>
      <c r="AA1219" s="121"/>
      <c r="AB1219" s="121"/>
    </row>
    <row r="1220" spans="2:29" ht="13.5" customHeight="1">
      <c r="B1220" s="98" t="str">
        <f>CONCATENATE("- Nr Dias: ",INFO!$C$20)</f>
        <v>- Nr Dias: 33</v>
      </c>
      <c r="C1220" s="121"/>
      <c r="D1220" s="121"/>
      <c r="E1220" s="121"/>
      <c r="F1220" s="121"/>
      <c r="G1220" s="121"/>
      <c r="H1220" s="121"/>
      <c r="I1220" s="121"/>
      <c r="J1220" s="121"/>
      <c r="K1220" s="121"/>
      <c r="L1220" s="121"/>
      <c r="M1220" s="121"/>
      <c r="N1220" s="121"/>
      <c r="O1220" s="121"/>
      <c r="P1220" s="121"/>
      <c r="Q1220" s="121"/>
      <c r="R1220" s="121"/>
      <c r="S1220" s="121"/>
      <c r="T1220" s="121"/>
      <c r="U1220" s="121"/>
      <c r="V1220" s="121"/>
      <c r="W1220" s="121"/>
      <c r="X1220" s="121"/>
      <c r="Y1220" s="121"/>
      <c r="Z1220" s="121"/>
      <c r="AA1220" s="121"/>
      <c r="AB1220" s="121"/>
    </row>
    <row r="1221" spans="2:29" ht="13.5" customHeight="1">
      <c r="B1221" s="98" t="e">
        <f>CONCATENATE("- Valor Estimado: R$ ",INDEX(QSGR!$J$16:$J$11170,AC1214))</f>
        <v>#N/A</v>
      </c>
      <c r="C1221" s="121"/>
      <c r="D1221" s="121"/>
      <c r="E1221" s="121"/>
      <c r="F1221" s="121"/>
      <c r="G1221" s="121"/>
      <c r="H1221" s="121"/>
      <c r="I1221" s="121"/>
      <c r="J1221" s="121"/>
      <c r="K1221" s="121"/>
      <c r="L1221" s="121"/>
      <c r="M1221" s="121"/>
      <c r="N1221" s="121"/>
      <c r="O1221" s="121"/>
      <c r="P1221" s="121"/>
      <c r="Q1221" s="121"/>
      <c r="R1221" s="121"/>
      <c r="S1221" s="121"/>
      <c r="T1221" s="121"/>
      <c r="U1221" s="121"/>
      <c r="V1221" s="121"/>
      <c r="W1221" s="121"/>
      <c r="X1221" s="121"/>
      <c r="Y1221" s="121"/>
      <c r="Z1221" s="121"/>
      <c r="AA1221" s="121"/>
      <c r="AB1221" s="121"/>
    </row>
    <row r="1222" spans="2:29" ht="13.5" customHeight="1">
      <c r="B1222" s="100"/>
      <c r="C1222" s="121"/>
      <c r="D1222" s="121"/>
      <c r="E1222" s="121"/>
      <c r="F1222" s="121"/>
      <c r="G1222" s="121"/>
      <c r="H1222" s="121"/>
      <c r="I1222" s="121"/>
      <c r="J1222" s="121"/>
      <c r="K1222" s="121"/>
      <c r="L1222" s="121"/>
      <c r="M1222" s="121"/>
      <c r="N1222" s="121"/>
      <c r="O1222" s="121"/>
      <c r="P1222" s="121"/>
      <c r="Q1222" s="121"/>
      <c r="R1222" s="121"/>
      <c r="S1222" s="121"/>
      <c r="T1222" s="121"/>
      <c r="U1222" s="121"/>
      <c r="V1222" s="121"/>
      <c r="W1222" s="121"/>
      <c r="X1222" s="121"/>
      <c r="Y1222" s="121"/>
      <c r="Z1222" s="121"/>
      <c r="AA1222" s="121"/>
      <c r="AB1222" s="121"/>
    </row>
    <row r="1223" spans="2:29" ht="13.5" customHeight="1">
      <c r="B1223" s="98" t="s">
        <v>55</v>
      </c>
      <c r="C1223" s="121"/>
      <c r="D1223" s="121"/>
      <c r="E1223" s="121"/>
      <c r="F1223" s="121"/>
      <c r="G1223" s="121"/>
      <c r="H1223" s="121"/>
      <c r="I1223" s="121"/>
      <c r="J1223" s="121"/>
      <c r="K1223" s="121"/>
      <c r="L1223" s="121"/>
      <c r="M1223" s="121"/>
      <c r="N1223" s="121"/>
      <c r="O1223" s="121"/>
      <c r="P1223" s="121"/>
      <c r="Q1223" s="121"/>
      <c r="R1223" s="121"/>
      <c r="S1223" s="121"/>
      <c r="T1223" s="121"/>
      <c r="U1223" s="121"/>
      <c r="V1223" s="121"/>
      <c r="W1223" s="121"/>
      <c r="X1223" s="121"/>
      <c r="Y1223" s="121"/>
      <c r="Z1223" s="121"/>
      <c r="AA1223" s="121"/>
      <c r="AB1223" s="121"/>
      <c r="AC1223" s="37">
        <f>AC1214+1</f>
        <v>136</v>
      </c>
    </row>
    <row r="1224" spans="2:29" ht="13.5" customHeight="1">
      <c r="B1224" s="99">
        <f>INDEX(QSGR!$B$16:$B$1570,AC1223)</f>
        <v>0</v>
      </c>
      <c r="C1224" s="121"/>
      <c r="D1224" s="121"/>
      <c r="E1224" s="97">
        <f>INDEX(QSGR!$D$16:$D$11170,AC1223)</f>
        <v>0</v>
      </c>
      <c r="F1224" s="121"/>
      <c r="G1224" s="121"/>
      <c r="H1224" s="121"/>
      <c r="I1224" s="121"/>
      <c r="J1224" s="121"/>
      <c r="K1224" s="121"/>
      <c r="L1224" s="121"/>
      <c r="M1224" s="121"/>
      <c r="N1224" s="121"/>
      <c r="O1224" s="121"/>
      <c r="P1224" s="121"/>
      <c r="Q1224" s="121"/>
      <c r="R1224" s="121"/>
      <c r="S1224" s="121"/>
      <c r="T1224" s="121"/>
      <c r="U1224" s="121"/>
      <c r="V1224" s="121"/>
      <c r="W1224" s="121"/>
      <c r="X1224" s="121"/>
      <c r="Y1224" s="121"/>
      <c r="Z1224" s="121"/>
      <c r="AA1224" s="121"/>
      <c r="AB1224" s="121"/>
    </row>
    <row r="1225" spans="2:29" ht="13.5" customHeight="1">
      <c r="B1225" s="96" t="str">
        <f>CONCATENATE("- Evento: ",INFO!$B$22)</f>
        <v>- Evento: PARTICIPAR DA OPERAÇÃO HORUS.</v>
      </c>
      <c r="C1225" s="121"/>
      <c r="D1225" s="121"/>
      <c r="E1225" s="121"/>
      <c r="F1225" s="121"/>
      <c r="G1225" s="121"/>
      <c r="H1225" s="121"/>
      <c r="I1225" s="121"/>
      <c r="J1225" s="121"/>
      <c r="K1225" s="121"/>
      <c r="L1225" s="121"/>
      <c r="M1225" s="121"/>
      <c r="N1225" s="121"/>
      <c r="O1225" s="121"/>
      <c r="P1225" s="121"/>
      <c r="Q1225" s="121"/>
      <c r="R1225" s="121"/>
      <c r="S1225" s="121"/>
      <c r="T1225" s="121"/>
      <c r="U1225" s="121"/>
      <c r="V1225" s="121"/>
      <c r="W1225" s="121"/>
      <c r="X1225" s="121"/>
      <c r="Y1225" s="121"/>
      <c r="Z1225" s="121"/>
      <c r="AA1225" s="121"/>
      <c r="AB1225" s="121"/>
    </row>
    <row r="1226" spans="2:29" ht="13.5" customHeight="1">
      <c r="B1226" s="98" t="str">
        <f>CONCATENATE("- Documento de Solicitação: ",INFO!$B$24)</f>
        <v>- Documento de Solicitação: TESTE AZUL</v>
      </c>
      <c r="C1226" s="121"/>
      <c r="D1226" s="121"/>
      <c r="E1226" s="121"/>
      <c r="F1226" s="121"/>
      <c r="G1226" s="121"/>
      <c r="H1226" s="121"/>
      <c r="I1226" s="121"/>
      <c r="J1226" s="121"/>
      <c r="K1226" s="121"/>
      <c r="L1226" s="121"/>
      <c r="M1226" s="121"/>
      <c r="N1226" s="121"/>
      <c r="O1226" s="121"/>
      <c r="P1226" s="121"/>
      <c r="Q1226" s="121"/>
      <c r="R1226" s="121"/>
      <c r="S1226" s="121"/>
      <c r="T1226" s="121"/>
      <c r="U1226" s="121"/>
      <c r="V1226" s="121"/>
      <c r="W1226" s="121"/>
      <c r="X1226" s="121"/>
      <c r="Y1226" s="121"/>
      <c r="Z1226" s="121"/>
      <c r="AA1226" s="121"/>
      <c r="AB1226" s="121"/>
    </row>
    <row r="1227" spans="2:29" ht="13.5" customHeight="1">
      <c r="B1227" s="98" t="str">
        <f>CONCATENATE("- Local: ",INFO!$C$18)</f>
        <v>- Local: GUAIRA - PR</v>
      </c>
      <c r="C1227" s="121"/>
      <c r="D1227" s="121"/>
      <c r="E1227" s="121"/>
      <c r="F1227" s="121"/>
      <c r="G1227" s="121"/>
      <c r="H1227" s="121"/>
      <c r="I1227" s="121"/>
      <c r="J1227" s="121"/>
      <c r="K1227" s="121"/>
      <c r="L1227" s="121"/>
      <c r="M1227" s="121"/>
      <c r="N1227" s="121"/>
      <c r="O1227" s="121"/>
      <c r="P1227" s="121"/>
      <c r="Q1227" s="121"/>
      <c r="R1227" s="121"/>
      <c r="S1227" s="121"/>
      <c r="T1227" s="121"/>
      <c r="U1227" s="121"/>
      <c r="V1227" s="121"/>
      <c r="W1227" s="121"/>
      <c r="X1227" s="121"/>
      <c r="Y1227" s="121"/>
      <c r="Z1227" s="121"/>
      <c r="AA1227" s="121"/>
      <c r="AB1227" s="121"/>
    </row>
    <row r="1228" spans="2:29" ht="13.5" customHeight="1">
      <c r="B1228" s="98" t="str">
        <f>CONCATENATE("- Periodo: ",INFO!$C$10," a ",INFO!$C$19)</f>
        <v xml:space="preserve">- Periodo: 22/7/2025  a 23/8/2025 </v>
      </c>
      <c r="C1228" s="121"/>
      <c r="D1228" s="121"/>
      <c r="E1228" s="121"/>
      <c r="F1228" s="121"/>
      <c r="G1228" s="121"/>
      <c r="H1228" s="121"/>
      <c r="I1228" s="121"/>
      <c r="J1228" s="121"/>
      <c r="K1228" s="121"/>
      <c r="L1228" s="121"/>
      <c r="M1228" s="121"/>
      <c r="N1228" s="121"/>
      <c r="O1228" s="121"/>
      <c r="P1228" s="121"/>
      <c r="Q1228" s="121"/>
      <c r="R1228" s="121"/>
      <c r="S1228" s="121"/>
      <c r="T1228" s="121"/>
      <c r="U1228" s="121"/>
      <c r="V1228" s="121"/>
      <c r="W1228" s="121"/>
      <c r="X1228" s="121"/>
      <c r="Y1228" s="121"/>
      <c r="Z1228" s="121"/>
      <c r="AA1228" s="121"/>
      <c r="AB1228" s="121"/>
    </row>
    <row r="1229" spans="2:29" ht="13.5" customHeight="1">
      <c r="B1229" s="98" t="str">
        <f>CONCATENATE("- Nr Dias: ",INFO!$C$20)</f>
        <v>- Nr Dias: 33</v>
      </c>
      <c r="C1229" s="121"/>
      <c r="D1229" s="121"/>
      <c r="E1229" s="121"/>
      <c r="F1229" s="121"/>
      <c r="G1229" s="121"/>
      <c r="H1229" s="121"/>
      <c r="I1229" s="121"/>
      <c r="J1229" s="121"/>
      <c r="K1229" s="121"/>
      <c r="L1229" s="121"/>
      <c r="M1229" s="121"/>
      <c r="N1229" s="121"/>
      <c r="O1229" s="121"/>
      <c r="P1229" s="121"/>
      <c r="Q1229" s="121"/>
      <c r="R1229" s="121"/>
      <c r="S1229" s="121"/>
      <c r="T1229" s="121"/>
      <c r="U1229" s="121"/>
      <c r="V1229" s="121"/>
      <c r="W1229" s="121"/>
      <c r="X1229" s="121"/>
      <c r="Y1229" s="121"/>
      <c r="Z1229" s="121"/>
      <c r="AA1229" s="121"/>
      <c r="AB1229" s="121"/>
    </row>
    <row r="1230" spans="2:29" ht="13.5" customHeight="1">
      <c r="B1230" s="98" t="e">
        <f>CONCATENATE("- Valor Estimado: R$ ",INDEX(QSGR!$J$16:$J$11170,AC1223))</f>
        <v>#N/A</v>
      </c>
      <c r="C1230" s="121"/>
      <c r="D1230" s="121"/>
      <c r="E1230" s="121"/>
      <c r="F1230" s="121"/>
      <c r="G1230" s="121"/>
      <c r="H1230" s="121"/>
      <c r="I1230" s="121"/>
      <c r="J1230" s="121"/>
      <c r="K1230" s="121"/>
      <c r="L1230" s="121"/>
      <c r="M1230" s="121"/>
      <c r="N1230" s="121"/>
      <c r="O1230" s="121"/>
      <c r="P1230" s="121"/>
      <c r="Q1230" s="121"/>
      <c r="R1230" s="121"/>
      <c r="S1230" s="121"/>
      <c r="T1230" s="121"/>
      <c r="U1230" s="121"/>
      <c r="V1230" s="121"/>
      <c r="W1230" s="121"/>
      <c r="X1230" s="121"/>
      <c r="Y1230" s="121"/>
      <c r="Z1230" s="121"/>
      <c r="AA1230" s="121"/>
      <c r="AB1230" s="121"/>
    </row>
    <row r="1231" spans="2:29" ht="13.5" customHeight="1">
      <c r="B1231" s="100"/>
      <c r="C1231" s="121"/>
      <c r="D1231" s="121"/>
      <c r="E1231" s="121"/>
      <c r="F1231" s="121"/>
      <c r="G1231" s="121"/>
      <c r="H1231" s="121"/>
      <c r="I1231" s="121"/>
      <c r="J1231" s="121"/>
      <c r="K1231" s="121"/>
      <c r="L1231" s="121"/>
      <c r="M1231" s="121"/>
      <c r="N1231" s="121"/>
      <c r="O1231" s="121"/>
      <c r="P1231" s="121"/>
      <c r="Q1231" s="121"/>
      <c r="R1231" s="121"/>
      <c r="S1231" s="121"/>
      <c r="T1231" s="121"/>
      <c r="U1231" s="121"/>
      <c r="V1231" s="121"/>
      <c r="W1231" s="121"/>
      <c r="X1231" s="121"/>
      <c r="Y1231" s="121"/>
      <c r="Z1231" s="121"/>
      <c r="AA1231" s="121"/>
      <c r="AB1231" s="121"/>
    </row>
    <row r="1232" spans="2:29" ht="13.5" customHeight="1">
      <c r="B1232" s="98" t="s">
        <v>55</v>
      </c>
      <c r="C1232" s="121"/>
      <c r="D1232" s="121"/>
      <c r="E1232" s="121"/>
      <c r="F1232" s="121"/>
      <c r="G1232" s="121"/>
      <c r="H1232" s="121"/>
      <c r="I1232" s="121"/>
      <c r="J1232" s="121"/>
      <c r="K1232" s="121"/>
      <c r="L1232" s="121"/>
      <c r="M1232" s="121"/>
      <c r="N1232" s="121"/>
      <c r="O1232" s="121"/>
      <c r="P1232" s="121"/>
      <c r="Q1232" s="121"/>
      <c r="R1232" s="121"/>
      <c r="S1232" s="121"/>
      <c r="T1232" s="121"/>
      <c r="U1232" s="121"/>
      <c r="V1232" s="121"/>
      <c r="W1232" s="121"/>
      <c r="X1232" s="121"/>
      <c r="Y1232" s="121"/>
      <c r="Z1232" s="121"/>
      <c r="AA1232" s="121"/>
      <c r="AB1232" s="121"/>
      <c r="AC1232" s="37">
        <f>AC1223+1</f>
        <v>137</v>
      </c>
    </row>
    <row r="1233" spans="2:29" ht="13.5" customHeight="1">
      <c r="B1233" s="99">
        <f>INDEX(QSGR!$B$16:$B$1570,AC1232)</f>
        <v>0</v>
      </c>
      <c r="C1233" s="121"/>
      <c r="D1233" s="121"/>
      <c r="E1233" s="97">
        <f>INDEX(QSGR!$D$16:$D$11170,AC1232)</f>
        <v>0</v>
      </c>
      <c r="F1233" s="121"/>
      <c r="G1233" s="121"/>
      <c r="H1233" s="121"/>
      <c r="I1233" s="121"/>
      <c r="J1233" s="121"/>
      <c r="K1233" s="121"/>
      <c r="L1233" s="121"/>
      <c r="M1233" s="121"/>
      <c r="N1233" s="121"/>
      <c r="O1233" s="121"/>
      <c r="P1233" s="121"/>
      <c r="Q1233" s="121"/>
      <c r="R1233" s="121"/>
      <c r="S1233" s="121"/>
      <c r="T1233" s="121"/>
      <c r="U1233" s="121"/>
      <c r="V1233" s="121"/>
      <c r="W1233" s="121"/>
      <c r="X1233" s="121"/>
      <c r="Y1233" s="121"/>
      <c r="Z1233" s="121"/>
      <c r="AA1233" s="121"/>
      <c r="AB1233" s="121"/>
    </row>
    <row r="1234" spans="2:29" ht="13.5" customHeight="1">
      <c r="B1234" s="96" t="str">
        <f>CONCATENATE("- Evento: ",INFO!$B$22)</f>
        <v>- Evento: PARTICIPAR DA OPERAÇÃO HORUS.</v>
      </c>
      <c r="C1234" s="121"/>
      <c r="D1234" s="121"/>
      <c r="E1234" s="121"/>
      <c r="F1234" s="121"/>
      <c r="G1234" s="121"/>
      <c r="H1234" s="121"/>
      <c r="I1234" s="121"/>
      <c r="J1234" s="121"/>
      <c r="K1234" s="121"/>
      <c r="L1234" s="121"/>
      <c r="M1234" s="121"/>
      <c r="N1234" s="121"/>
      <c r="O1234" s="121"/>
      <c r="P1234" s="121"/>
      <c r="Q1234" s="121"/>
      <c r="R1234" s="121"/>
      <c r="S1234" s="121"/>
      <c r="T1234" s="121"/>
      <c r="U1234" s="121"/>
      <c r="V1234" s="121"/>
      <c r="W1234" s="121"/>
      <c r="X1234" s="121"/>
      <c r="Y1234" s="121"/>
      <c r="Z1234" s="121"/>
      <c r="AA1234" s="121"/>
      <c r="AB1234" s="121"/>
    </row>
    <row r="1235" spans="2:29" ht="13.5" customHeight="1">
      <c r="B1235" s="98" t="str">
        <f>CONCATENATE("- Documento de Solicitação: ",INFO!$B$24)</f>
        <v>- Documento de Solicitação: TESTE AZUL</v>
      </c>
      <c r="C1235" s="121"/>
      <c r="D1235" s="121"/>
      <c r="E1235" s="121"/>
      <c r="F1235" s="121"/>
      <c r="G1235" s="121"/>
      <c r="H1235" s="121"/>
      <c r="I1235" s="121"/>
      <c r="J1235" s="121"/>
      <c r="K1235" s="121"/>
      <c r="L1235" s="121"/>
      <c r="M1235" s="121"/>
      <c r="N1235" s="121"/>
      <c r="O1235" s="121"/>
      <c r="P1235" s="121"/>
      <c r="Q1235" s="121"/>
      <c r="R1235" s="121"/>
      <c r="S1235" s="121"/>
      <c r="T1235" s="121"/>
      <c r="U1235" s="121"/>
      <c r="V1235" s="121"/>
      <c r="W1235" s="121"/>
      <c r="X1235" s="121"/>
      <c r="Y1235" s="121"/>
      <c r="Z1235" s="121"/>
      <c r="AA1235" s="121"/>
      <c r="AB1235" s="121"/>
    </row>
    <row r="1236" spans="2:29" ht="13.5" customHeight="1">
      <c r="B1236" s="98" t="str">
        <f>CONCATENATE("- Local: ",INFO!$C$18)</f>
        <v>- Local: GUAIRA - PR</v>
      </c>
      <c r="C1236" s="121"/>
      <c r="D1236" s="121"/>
      <c r="E1236" s="121"/>
      <c r="F1236" s="121"/>
      <c r="G1236" s="121"/>
      <c r="H1236" s="121"/>
      <c r="I1236" s="121"/>
      <c r="J1236" s="121"/>
      <c r="K1236" s="121"/>
      <c r="L1236" s="121"/>
      <c r="M1236" s="121"/>
      <c r="N1236" s="121"/>
      <c r="O1236" s="121"/>
      <c r="P1236" s="121"/>
      <c r="Q1236" s="121"/>
      <c r="R1236" s="121"/>
      <c r="S1236" s="121"/>
      <c r="T1236" s="121"/>
      <c r="U1236" s="121"/>
      <c r="V1236" s="121"/>
      <c r="W1236" s="121"/>
      <c r="X1236" s="121"/>
      <c r="Y1236" s="121"/>
      <c r="Z1236" s="121"/>
      <c r="AA1236" s="121"/>
      <c r="AB1236" s="121"/>
    </row>
    <row r="1237" spans="2:29" ht="13.5" customHeight="1">
      <c r="B1237" s="98" t="str">
        <f>CONCATENATE("- Periodo: ",INFO!$C$10," a ",INFO!$C$19)</f>
        <v xml:space="preserve">- Periodo: 22/7/2025  a 23/8/2025 </v>
      </c>
      <c r="C1237" s="121"/>
      <c r="D1237" s="121"/>
      <c r="E1237" s="121"/>
      <c r="F1237" s="121"/>
      <c r="G1237" s="121"/>
      <c r="H1237" s="121"/>
      <c r="I1237" s="121"/>
      <c r="J1237" s="121"/>
      <c r="K1237" s="121"/>
      <c r="L1237" s="121"/>
      <c r="M1237" s="121"/>
      <c r="N1237" s="121"/>
      <c r="O1237" s="121"/>
      <c r="P1237" s="121"/>
      <c r="Q1237" s="121"/>
      <c r="R1237" s="121"/>
      <c r="S1237" s="121"/>
      <c r="T1237" s="121"/>
      <c r="U1237" s="121"/>
      <c r="V1237" s="121"/>
      <c r="W1237" s="121"/>
      <c r="X1237" s="121"/>
      <c r="Y1237" s="121"/>
      <c r="Z1237" s="121"/>
      <c r="AA1237" s="121"/>
      <c r="AB1237" s="121"/>
    </row>
    <row r="1238" spans="2:29" ht="13.5" customHeight="1">
      <c r="B1238" s="98" t="str">
        <f>CONCATENATE("- Nr Dias: ",INFO!$C$20)</f>
        <v>- Nr Dias: 33</v>
      </c>
      <c r="C1238" s="121"/>
      <c r="D1238" s="121"/>
      <c r="E1238" s="121"/>
      <c r="F1238" s="121"/>
      <c r="G1238" s="121"/>
      <c r="H1238" s="121"/>
      <c r="I1238" s="121"/>
      <c r="J1238" s="121"/>
      <c r="K1238" s="121"/>
      <c r="L1238" s="121"/>
      <c r="M1238" s="121"/>
      <c r="N1238" s="121"/>
      <c r="O1238" s="121"/>
      <c r="P1238" s="121"/>
      <c r="Q1238" s="121"/>
      <c r="R1238" s="121"/>
      <c r="S1238" s="121"/>
      <c r="T1238" s="121"/>
      <c r="U1238" s="121"/>
      <c r="V1238" s="121"/>
      <c r="W1238" s="121"/>
      <c r="X1238" s="121"/>
      <c r="Y1238" s="121"/>
      <c r="Z1238" s="121"/>
      <c r="AA1238" s="121"/>
      <c r="AB1238" s="121"/>
    </row>
    <row r="1239" spans="2:29" ht="13.5" customHeight="1">
      <c r="B1239" s="98" t="e">
        <f>CONCATENATE("- Valor Estimado: R$ ",INDEX(QSGR!$J$16:$J$11170,AC1232))</f>
        <v>#N/A</v>
      </c>
      <c r="C1239" s="121"/>
      <c r="D1239" s="121"/>
      <c r="E1239" s="121"/>
      <c r="F1239" s="121"/>
      <c r="G1239" s="121"/>
      <c r="H1239" s="121"/>
      <c r="I1239" s="121"/>
      <c r="J1239" s="121"/>
      <c r="K1239" s="121"/>
      <c r="L1239" s="121"/>
      <c r="M1239" s="121"/>
      <c r="N1239" s="121"/>
      <c r="O1239" s="121"/>
      <c r="P1239" s="121"/>
      <c r="Q1239" s="121"/>
      <c r="R1239" s="121"/>
      <c r="S1239" s="121"/>
      <c r="T1239" s="121"/>
      <c r="U1239" s="121"/>
      <c r="V1239" s="121"/>
      <c r="W1239" s="121"/>
      <c r="X1239" s="121"/>
      <c r="Y1239" s="121"/>
      <c r="Z1239" s="121"/>
      <c r="AA1239" s="121"/>
      <c r="AB1239" s="121"/>
    </row>
    <row r="1240" spans="2:29" ht="13.5" customHeight="1">
      <c r="B1240" s="100"/>
      <c r="C1240" s="121"/>
      <c r="D1240" s="121"/>
      <c r="E1240" s="121"/>
      <c r="F1240" s="121"/>
      <c r="G1240" s="121"/>
      <c r="H1240" s="121"/>
      <c r="I1240" s="121"/>
      <c r="J1240" s="121"/>
      <c r="K1240" s="121"/>
      <c r="L1240" s="121"/>
      <c r="M1240" s="121"/>
      <c r="N1240" s="121"/>
      <c r="O1240" s="121"/>
      <c r="P1240" s="121"/>
      <c r="Q1240" s="121"/>
      <c r="R1240" s="121"/>
      <c r="S1240" s="121"/>
      <c r="T1240" s="121"/>
      <c r="U1240" s="121"/>
      <c r="V1240" s="121"/>
      <c r="W1240" s="121"/>
      <c r="X1240" s="121"/>
      <c r="Y1240" s="121"/>
      <c r="Z1240" s="121"/>
      <c r="AA1240" s="121"/>
      <c r="AB1240" s="121"/>
    </row>
    <row r="1241" spans="2:29" ht="13.5" customHeight="1">
      <c r="B1241" s="98" t="s">
        <v>55</v>
      </c>
      <c r="C1241" s="121"/>
      <c r="D1241" s="121"/>
      <c r="E1241" s="121"/>
      <c r="F1241" s="121"/>
      <c r="G1241" s="121"/>
      <c r="H1241" s="121"/>
      <c r="I1241" s="121"/>
      <c r="J1241" s="121"/>
      <c r="K1241" s="121"/>
      <c r="L1241" s="121"/>
      <c r="M1241" s="121"/>
      <c r="N1241" s="121"/>
      <c r="O1241" s="121"/>
      <c r="P1241" s="121"/>
      <c r="Q1241" s="121"/>
      <c r="R1241" s="121"/>
      <c r="S1241" s="121"/>
      <c r="T1241" s="121"/>
      <c r="U1241" s="121"/>
      <c r="V1241" s="121"/>
      <c r="W1241" s="121"/>
      <c r="X1241" s="121"/>
      <c r="Y1241" s="121"/>
      <c r="Z1241" s="121"/>
      <c r="AA1241" s="121"/>
      <c r="AB1241" s="121"/>
      <c r="AC1241" s="37">
        <f>AC1232+1</f>
        <v>138</v>
      </c>
    </row>
    <row r="1242" spans="2:29" ht="13.5" customHeight="1">
      <c r="B1242" s="99">
        <f>INDEX(QSGR!$B$16:$B$1570,AC1241)</f>
        <v>0</v>
      </c>
      <c r="C1242" s="121"/>
      <c r="D1242" s="121"/>
      <c r="E1242" s="97">
        <f>INDEX(QSGR!$D$16:$D$11170,AC1241)</f>
        <v>0</v>
      </c>
      <c r="F1242" s="121"/>
      <c r="G1242" s="121"/>
      <c r="H1242" s="121"/>
      <c r="I1242" s="121"/>
      <c r="J1242" s="121"/>
      <c r="K1242" s="121"/>
      <c r="L1242" s="121"/>
      <c r="M1242" s="121"/>
      <c r="N1242" s="121"/>
      <c r="O1242" s="121"/>
      <c r="P1242" s="121"/>
      <c r="Q1242" s="121"/>
      <c r="R1242" s="121"/>
      <c r="S1242" s="121"/>
      <c r="T1242" s="121"/>
      <c r="U1242" s="121"/>
      <c r="V1242" s="121"/>
      <c r="W1242" s="121"/>
      <c r="X1242" s="121"/>
      <c r="Y1242" s="121"/>
      <c r="Z1242" s="121"/>
      <c r="AA1242" s="121"/>
      <c r="AB1242" s="121"/>
    </row>
    <row r="1243" spans="2:29" ht="13.5" customHeight="1">
      <c r="B1243" s="96" t="str">
        <f>CONCATENATE("- Evento: ",INFO!$B$22)</f>
        <v>- Evento: PARTICIPAR DA OPERAÇÃO HORUS.</v>
      </c>
      <c r="C1243" s="121"/>
      <c r="D1243" s="121"/>
      <c r="E1243" s="121"/>
      <c r="F1243" s="121"/>
      <c r="G1243" s="121"/>
      <c r="H1243" s="121"/>
      <c r="I1243" s="121"/>
      <c r="J1243" s="121"/>
      <c r="K1243" s="121"/>
      <c r="L1243" s="121"/>
      <c r="M1243" s="121"/>
      <c r="N1243" s="121"/>
      <c r="O1243" s="121"/>
      <c r="P1243" s="121"/>
      <c r="Q1243" s="121"/>
      <c r="R1243" s="121"/>
      <c r="S1243" s="121"/>
      <c r="T1243" s="121"/>
      <c r="U1243" s="121"/>
      <c r="V1243" s="121"/>
      <c r="W1243" s="121"/>
      <c r="X1243" s="121"/>
      <c r="Y1243" s="121"/>
      <c r="Z1243" s="121"/>
      <c r="AA1243" s="121"/>
      <c r="AB1243" s="121"/>
    </row>
    <row r="1244" spans="2:29" ht="13.5" customHeight="1">
      <c r="B1244" s="98" t="str">
        <f>CONCATENATE("- Documento de Solicitação: ",INFO!$B$24)</f>
        <v>- Documento de Solicitação: TESTE AZUL</v>
      </c>
      <c r="C1244" s="121"/>
      <c r="D1244" s="121"/>
      <c r="E1244" s="121"/>
      <c r="F1244" s="121"/>
      <c r="G1244" s="121"/>
      <c r="H1244" s="121"/>
      <c r="I1244" s="121"/>
      <c r="J1244" s="121"/>
      <c r="K1244" s="121"/>
      <c r="L1244" s="121"/>
      <c r="M1244" s="121"/>
      <c r="N1244" s="121"/>
      <c r="O1244" s="121"/>
      <c r="P1244" s="121"/>
      <c r="Q1244" s="121"/>
      <c r="R1244" s="121"/>
      <c r="S1244" s="121"/>
      <c r="T1244" s="121"/>
      <c r="U1244" s="121"/>
      <c r="V1244" s="121"/>
      <c r="W1244" s="121"/>
      <c r="X1244" s="121"/>
      <c r="Y1244" s="121"/>
      <c r="Z1244" s="121"/>
      <c r="AA1244" s="121"/>
      <c r="AB1244" s="121"/>
    </row>
    <row r="1245" spans="2:29" ht="13.5" customHeight="1">
      <c r="B1245" s="98" t="str">
        <f>CONCATENATE("- Local: ",INFO!$C$18)</f>
        <v>- Local: GUAIRA - PR</v>
      </c>
      <c r="C1245" s="121"/>
      <c r="D1245" s="121"/>
      <c r="E1245" s="121"/>
      <c r="F1245" s="121"/>
      <c r="G1245" s="121"/>
      <c r="H1245" s="121"/>
      <c r="I1245" s="121"/>
      <c r="J1245" s="121"/>
      <c r="K1245" s="121"/>
      <c r="L1245" s="121"/>
      <c r="M1245" s="121"/>
      <c r="N1245" s="121"/>
      <c r="O1245" s="121"/>
      <c r="P1245" s="121"/>
      <c r="Q1245" s="121"/>
      <c r="R1245" s="121"/>
      <c r="S1245" s="121"/>
      <c r="T1245" s="121"/>
      <c r="U1245" s="121"/>
      <c r="V1245" s="121"/>
      <c r="W1245" s="121"/>
      <c r="X1245" s="121"/>
      <c r="Y1245" s="121"/>
      <c r="Z1245" s="121"/>
      <c r="AA1245" s="121"/>
      <c r="AB1245" s="121"/>
    </row>
    <row r="1246" spans="2:29" ht="13.5" customHeight="1">
      <c r="B1246" s="98" t="str">
        <f>CONCATENATE("- Periodo: ",INFO!$C$10," a ",INFO!$C$19)</f>
        <v xml:space="preserve">- Periodo: 22/7/2025  a 23/8/2025 </v>
      </c>
      <c r="C1246" s="121"/>
      <c r="D1246" s="121"/>
      <c r="E1246" s="121"/>
      <c r="F1246" s="121"/>
      <c r="G1246" s="121"/>
      <c r="H1246" s="121"/>
      <c r="I1246" s="121"/>
      <c r="J1246" s="121"/>
      <c r="K1246" s="121"/>
      <c r="L1246" s="121"/>
      <c r="M1246" s="121"/>
      <c r="N1246" s="121"/>
      <c r="O1246" s="121"/>
      <c r="P1246" s="121"/>
      <c r="Q1246" s="121"/>
      <c r="R1246" s="121"/>
      <c r="S1246" s="121"/>
      <c r="T1246" s="121"/>
      <c r="U1246" s="121"/>
      <c r="V1246" s="121"/>
      <c r="W1246" s="121"/>
      <c r="X1246" s="121"/>
      <c r="Y1246" s="121"/>
      <c r="Z1246" s="121"/>
      <c r="AA1246" s="121"/>
      <c r="AB1246" s="121"/>
    </row>
    <row r="1247" spans="2:29" ht="13.5" customHeight="1">
      <c r="B1247" s="98" t="str">
        <f>CONCATENATE("- Nr Dias: ",INFO!$C$20)</f>
        <v>- Nr Dias: 33</v>
      </c>
      <c r="C1247" s="121"/>
      <c r="D1247" s="121"/>
      <c r="E1247" s="121"/>
      <c r="F1247" s="121"/>
      <c r="G1247" s="121"/>
      <c r="H1247" s="121"/>
      <c r="I1247" s="121"/>
      <c r="J1247" s="121"/>
      <c r="K1247" s="121"/>
      <c r="L1247" s="121"/>
      <c r="M1247" s="121"/>
      <c r="N1247" s="121"/>
      <c r="O1247" s="121"/>
      <c r="P1247" s="121"/>
      <c r="Q1247" s="121"/>
      <c r="R1247" s="121"/>
      <c r="S1247" s="121"/>
      <c r="T1247" s="121"/>
      <c r="U1247" s="121"/>
      <c r="V1247" s="121"/>
      <c r="W1247" s="121"/>
      <c r="X1247" s="121"/>
      <c r="Y1247" s="121"/>
      <c r="Z1247" s="121"/>
      <c r="AA1247" s="121"/>
      <c r="AB1247" s="121"/>
    </row>
    <row r="1248" spans="2:29" ht="13.5" customHeight="1">
      <c r="B1248" s="98" t="e">
        <f>CONCATENATE("- Valor Estimado: R$ ",INDEX(QSGR!$J$16:$J$11170,AC1241))</f>
        <v>#N/A</v>
      </c>
      <c r="C1248" s="121"/>
      <c r="D1248" s="121"/>
      <c r="E1248" s="121"/>
      <c r="F1248" s="121"/>
      <c r="G1248" s="121"/>
      <c r="H1248" s="121"/>
      <c r="I1248" s="121"/>
      <c r="J1248" s="121"/>
      <c r="K1248" s="121"/>
      <c r="L1248" s="121"/>
      <c r="M1248" s="121"/>
      <c r="N1248" s="121"/>
      <c r="O1248" s="121"/>
      <c r="P1248" s="121"/>
      <c r="Q1248" s="121"/>
      <c r="R1248" s="121"/>
      <c r="S1248" s="121"/>
      <c r="T1248" s="121"/>
      <c r="U1248" s="121"/>
      <c r="V1248" s="121"/>
      <c r="W1248" s="121"/>
      <c r="X1248" s="121"/>
      <c r="Y1248" s="121"/>
      <c r="Z1248" s="121"/>
      <c r="AA1248" s="121"/>
      <c r="AB1248" s="121"/>
    </row>
    <row r="1249" spans="2:29" ht="13.5" customHeight="1">
      <c r="B1249" s="100"/>
      <c r="C1249" s="121"/>
      <c r="D1249" s="121"/>
      <c r="E1249" s="121"/>
      <c r="F1249" s="121"/>
      <c r="G1249" s="121"/>
      <c r="H1249" s="121"/>
      <c r="I1249" s="121"/>
      <c r="J1249" s="121"/>
      <c r="K1249" s="121"/>
      <c r="L1249" s="121"/>
      <c r="M1249" s="121"/>
      <c r="N1249" s="121"/>
      <c r="O1249" s="121"/>
      <c r="P1249" s="121"/>
      <c r="Q1249" s="121"/>
      <c r="R1249" s="121"/>
      <c r="S1249" s="121"/>
      <c r="T1249" s="121"/>
      <c r="U1249" s="121"/>
      <c r="V1249" s="121"/>
      <c r="W1249" s="121"/>
      <c r="X1249" s="121"/>
      <c r="Y1249" s="121"/>
      <c r="Z1249" s="121"/>
      <c r="AA1249" s="121"/>
      <c r="AB1249" s="121"/>
    </row>
    <row r="1250" spans="2:29" ht="13.5" customHeight="1">
      <c r="B1250" s="98" t="s">
        <v>55</v>
      </c>
      <c r="C1250" s="121"/>
      <c r="D1250" s="121"/>
      <c r="E1250" s="121"/>
      <c r="F1250" s="121"/>
      <c r="G1250" s="121"/>
      <c r="H1250" s="121"/>
      <c r="I1250" s="121"/>
      <c r="J1250" s="121"/>
      <c r="K1250" s="121"/>
      <c r="L1250" s="121"/>
      <c r="M1250" s="121"/>
      <c r="N1250" s="121"/>
      <c r="O1250" s="121"/>
      <c r="P1250" s="121"/>
      <c r="Q1250" s="121"/>
      <c r="R1250" s="121"/>
      <c r="S1250" s="121"/>
      <c r="T1250" s="121"/>
      <c r="U1250" s="121"/>
      <c r="V1250" s="121"/>
      <c r="W1250" s="121"/>
      <c r="X1250" s="121"/>
      <c r="Y1250" s="121"/>
      <c r="Z1250" s="121"/>
      <c r="AA1250" s="121"/>
      <c r="AB1250" s="121"/>
      <c r="AC1250" s="37">
        <f>AC1241+1</f>
        <v>139</v>
      </c>
    </row>
    <row r="1251" spans="2:29" ht="13.5" customHeight="1">
      <c r="B1251" s="99" t="str">
        <f>INDEX(QSGR!$B$16:$B$1570,AC1250)</f>
        <v>Total</v>
      </c>
      <c r="C1251" s="121"/>
      <c r="D1251" s="121"/>
      <c r="E1251" s="97">
        <f>INDEX(QSGR!$D$16:$D$11170,AC1250)</f>
        <v>0</v>
      </c>
      <c r="F1251" s="121"/>
      <c r="G1251" s="121"/>
      <c r="H1251" s="121"/>
      <c r="I1251" s="121"/>
      <c r="J1251" s="121"/>
      <c r="K1251" s="121"/>
      <c r="L1251" s="121"/>
      <c r="M1251" s="121"/>
      <c r="N1251" s="121"/>
      <c r="O1251" s="121"/>
      <c r="P1251" s="121"/>
      <c r="Q1251" s="121"/>
      <c r="R1251" s="121"/>
      <c r="S1251" s="121"/>
      <c r="T1251" s="121"/>
      <c r="U1251" s="121"/>
      <c r="V1251" s="121"/>
      <c r="W1251" s="121"/>
      <c r="X1251" s="121"/>
      <c r="Y1251" s="121"/>
      <c r="Z1251" s="121"/>
      <c r="AA1251" s="121"/>
      <c r="AB1251" s="121"/>
    </row>
    <row r="1252" spans="2:29" ht="13.5" customHeight="1">
      <c r="B1252" s="96" t="str">
        <f>CONCATENATE("- Evento: ",INFO!$B$22)</f>
        <v>- Evento: PARTICIPAR DA OPERAÇÃO HORUS.</v>
      </c>
      <c r="C1252" s="121"/>
      <c r="D1252" s="121"/>
      <c r="E1252" s="121"/>
      <c r="F1252" s="121"/>
      <c r="G1252" s="121"/>
      <c r="H1252" s="121"/>
      <c r="I1252" s="121"/>
      <c r="J1252" s="121"/>
      <c r="K1252" s="121"/>
      <c r="L1252" s="121"/>
      <c r="M1252" s="121"/>
      <c r="N1252" s="121"/>
      <c r="O1252" s="121"/>
      <c r="P1252" s="121"/>
      <c r="Q1252" s="121"/>
      <c r="R1252" s="121"/>
      <c r="S1252" s="121"/>
      <c r="T1252" s="121"/>
      <c r="U1252" s="121"/>
      <c r="V1252" s="121"/>
      <c r="W1252" s="121"/>
      <c r="X1252" s="121"/>
      <c r="Y1252" s="121"/>
      <c r="Z1252" s="121"/>
      <c r="AA1252" s="121"/>
      <c r="AB1252" s="121"/>
    </row>
    <row r="1253" spans="2:29" ht="13.5" customHeight="1">
      <c r="B1253" s="98" t="str">
        <f>CONCATENATE("- Documento de Solicitação: ",INFO!$B$24)</f>
        <v>- Documento de Solicitação: TESTE AZUL</v>
      </c>
      <c r="C1253" s="121"/>
      <c r="D1253" s="121"/>
      <c r="E1253" s="121"/>
      <c r="F1253" s="121"/>
      <c r="G1253" s="121"/>
      <c r="H1253" s="121"/>
      <c r="I1253" s="121"/>
      <c r="J1253" s="121"/>
      <c r="K1253" s="121"/>
      <c r="L1253" s="121"/>
      <c r="M1253" s="121"/>
      <c r="N1253" s="121"/>
      <c r="O1253" s="121"/>
      <c r="P1253" s="121"/>
      <c r="Q1253" s="121"/>
      <c r="R1253" s="121"/>
      <c r="S1253" s="121"/>
      <c r="T1253" s="121"/>
      <c r="U1253" s="121"/>
      <c r="V1253" s="121"/>
      <c r="W1253" s="121"/>
      <c r="X1253" s="121"/>
      <c r="Y1253" s="121"/>
      <c r="Z1253" s="121"/>
      <c r="AA1253" s="121"/>
      <c r="AB1253" s="121"/>
    </row>
    <row r="1254" spans="2:29" ht="13.5" customHeight="1">
      <c r="B1254" s="98" t="str">
        <f>CONCATENATE("- Local: ",INFO!$C$18)</f>
        <v>- Local: GUAIRA - PR</v>
      </c>
      <c r="C1254" s="121"/>
      <c r="D1254" s="121"/>
      <c r="E1254" s="121"/>
      <c r="F1254" s="121"/>
      <c r="G1254" s="121"/>
      <c r="H1254" s="121"/>
      <c r="I1254" s="121"/>
      <c r="J1254" s="121"/>
      <c r="K1254" s="121"/>
      <c r="L1254" s="121"/>
      <c r="M1254" s="121"/>
      <c r="N1254" s="121"/>
      <c r="O1254" s="121"/>
      <c r="P1254" s="121"/>
      <c r="Q1254" s="121"/>
      <c r="R1254" s="121"/>
      <c r="S1254" s="121"/>
      <c r="T1254" s="121"/>
      <c r="U1254" s="121"/>
      <c r="V1254" s="121"/>
      <c r="W1254" s="121"/>
      <c r="X1254" s="121"/>
      <c r="Y1254" s="121"/>
      <c r="Z1254" s="121"/>
      <c r="AA1254" s="121"/>
      <c r="AB1254" s="121"/>
    </row>
    <row r="1255" spans="2:29" ht="13.5" customHeight="1">
      <c r="B1255" s="98" t="str">
        <f>CONCATENATE("- Periodo: ",INFO!$C$10," a ",INFO!$C$19)</f>
        <v xml:space="preserve">- Periodo: 22/7/2025  a 23/8/2025 </v>
      </c>
      <c r="C1255" s="121"/>
      <c r="D1255" s="121"/>
      <c r="E1255" s="121"/>
      <c r="F1255" s="121"/>
      <c r="G1255" s="121"/>
      <c r="H1255" s="121"/>
      <c r="I1255" s="121"/>
      <c r="J1255" s="121"/>
      <c r="K1255" s="121"/>
      <c r="L1255" s="121"/>
      <c r="M1255" s="121"/>
      <c r="N1255" s="121"/>
      <c r="O1255" s="121"/>
      <c r="P1255" s="121"/>
      <c r="Q1255" s="121"/>
      <c r="R1255" s="121"/>
      <c r="S1255" s="121"/>
      <c r="T1255" s="121"/>
      <c r="U1255" s="121"/>
      <c r="V1255" s="121"/>
      <c r="W1255" s="121"/>
      <c r="X1255" s="121"/>
      <c r="Y1255" s="121"/>
      <c r="Z1255" s="121"/>
      <c r="AA1255" s="121"/>
      <c r="AB1255" s="121"/>
    </row>
    <row r="1256" spans="2:29" ht="13.5" customHeight="1">
      <c r="B1256" s="98" t="str">
        <f>CONCATENATE("- Nr Dias: ",INFO!$C$20)</f>
        <v>- Nr Dias: 33</v>
      </c>
      <c r="C1256" s="121"/>
      <c r="D1256" s="121"/>
      <c r="E1256" s="121"/>
      <c r="F1256" s="121"/>
      <c r="G1256" s="121"/>
      <c r="H1256" s="121"/>
      <c r="I1256" s="121"/>
      <c r="J1256" s="121"/>
      <c r="K1256" s="121"/>
      <c r="L1256" s="121"/>
      <c r="M1256" s="121"/>
      <c r="N1256" s="121"/>
      <c r="O1256" s="121"/>
      <c r="P1256" s="121"/>
      <c r="Q1256" s="121"/>
      <c r="R1256" s="121"/>
      <c r="S1256" s="121"/>
      <c r="T1256" s="121"/>
      <c r="U1256" s="121"/>
      <c r="V1256" s="121"/>
      <c r="W1256" s="121"/>
      <c r="X1256" s="121"/>
      <c r="Y1256" s="121"/>
      <c r="Z1256" s="121"/>
      <c r="AA1256" s="121"/>
      <c r="AB1256" s="121"/>
    </row>
    <row r="1257" spans="2:29" ht="13.5" customHeight="1">
      <c r="B1257" s="98" t="e">
        <f>CONCATENATE("- Valor Estimado: R$ ",INDEX(QSGR!$J$16:$J$11170,AC1250))</f>
        <v>#N/A</v>
      </c>
      <c r="C1257" s="121"/>
      <c r="D1257" s="121"/>
      <c r="E1257" s="121"/>
      <c r="F1257" s="121"/>
      <c r="G1257" s="121"/>
      <c r="H1257" s="121"/>
      <c r="I1257" s="121"/>
      <c r="J1257" s="121"/>
      <c r="K1257" s="121"/>
      <c r="L1257" s="121"/>
      <c r="M1257" s="121"/>
      <c r="N1257" s="121"/>
      <c r="O1257" s="121"/>
      <c r="P1257" s="121"/>
      <c r="Q1257" s="121"/>
      <c r="R1257" s="121"/>
      <c r="S1257" s="121"/>
      <c r="T1257" s="121"/>
      <c r="U1257" s="121"/>
      <c r="V1257" s="121"/>
      <c r="W1257" s="121"/>
      <c r="X1257" s="121"/>
      <c r="Y1257" s="121"/>
      <c r="Z1257" s="121"/>
      <c r="AA1257" s="121"/>
      <c r="AB1257" s="121"/>
    </row>
    <row r="1258" spans="2:29" ht="13.5" customHeight="1">
      <c r="B1258" s="100"/>
      <c r="C1258" s="121"/>
      <c r="D1258" s="121"/>
      <c r="E1258" s="121"/>
      <c r="F1258" s="121"/>
      <c r="G1258" s="121"/>
      <c r="H1258" s="121"/>
      <c r="I1258" s="121"/>
      <c r="J1258" s="121"/>
      <c r="K1258" s="121"/>
      <c r="L1258" s="121"/>
      <c r="M1258" s="121"/>
      <c r="N1258" s="121"/>
      <c r="O1258" s="121"/>
      <c r="P1258" s="121"/>
      <c r="Q1258" s="121"/>
      <c r="R1258" s="121"/>
      <c r="S1258" s="121"/>
      <c r="T1258" s="121"/>
      <c r="U1258" s="121"/>
      <c r="V1258" s="121"/>
      <c r="W1258" s="121"/>
      <c r="X1258" s="121"/>
      <c r="Y1258" s="121"/>
      <c r="Z1258" s="121"/>
      <c r="AA1258" s="121"/>
      <c r="AB1258" s="121"/>
    </row>
    <row r="1259" spans="2:29" ht="13.5" customHeight="1">
      <c r="B1259" s="98" t="s">
        <v>55</v>
      </c>
      <c r="C1259" s="121"/>
      <c r="D1259" s="121"/>
      <c r="E1259" s="121"/>
      <c r="F1259" s="121"/>
      <c r="G1259" s="121"/>
      <c r="H1259" s="121"/>
      <c r="I1259" s="121"/>
      <c r="J1259" s="121"/>
      <c r="K1259" s="121"/>
      <c r="L1259" s="121"/>
      <c r="M1259" s="121"/>
      <c r="N1259" s="121"/>
      <c r="O1259" s="121"/>
      <c r="P1259" s="121"/>
      <c r="Q1259" s="121"/>
      <c r="R1259" s="121"/>
      <c r="S1259" s="121"/>
      <c r="T1259" s="121"/>
      <c r="U1259" s="121"/>
      <c r="V1259" s="121"/>
      <c r="W1259" s="121"/>
      <c r="X1259" s="121"/>
      <c r="Y1259" s="121"/>
      <c r="Z1259" s="121"/>
      <c r="AA1259" s="121"/>
      <c r="AB1259" s="121"/>
      <c r="AC1259" s="37">
        <f>AC1250+1</f>
        <v>140</v>
      </c>
    </row>
    <row r="1260" spans="2:29" ht="13.5" customHeight="1">
      <c r="B1260" s="99" t="str">
        <f>INDEX(QSGR!$B$16:$B$1570,AC1259)</f>
        <v>Observações ligadas à missão: Deslocamento para a cidade de GUAIRA - PR, com a finalidade PARTICIPAR DA OPERAÇÃO HORUS.</v>
      </c>
      <c r="C1260" s="121"/>
      <c r="D1260" s="121"/>
      <c r="E1260" s="97">
        <f>INDEX(QSGR!$D$16:$D$11170,AC1259)</f>
        <v>0</v>
      </c>
      <c r="F1260" s="121"/>
      <c r="G1260" s="121"/>
      <c r="H1260" s="121"/>
      <c r="I1260" s="121"/>
      <c r="J1260" s="121"/>
      <c r="K1260" s="121"/>
      <c r="L1260" s="121"/>
      <c r="M1260" s="121"/>
      <c r="N1260" s="121"/>
      <c r="O1260" s="121"/>
      <c r="P1260" s="121"/>
      <c r="Q1260" s="121"/>
      <c r="R1260" s="121"/>
      <c r="S1260" s="121"/>
      <c r="T1260" s="121"/>
      <c r="U1260" s="121"/>
      <c r="V1260" s="121"/>
      <c r="W1260" s="121"/>
      <c r="X1260" s="121"/>
      <c r="Y1260" s="121"/>
      <c r="Z1260" s="121"/>
      <c r="AA1260" s="121"/>
      <c r="AB1260" s="121"/>
    </row>
    <row r="1261" spans="2:29" ht="13.5" customHeight="1">
      <c r="B1261" s="96" t="str">
        <f>CONCATENATE("- Evento: ",INFO!$B$22)</f>
        <v>- Evento: PARTICIPAR DA OPERAÇÃO HORUS.</v>
      </c>
      <c r="C1261" s="121"/>
      <c r="D1261" s="121"/>
      <c r="E1261" s="121"/>
      <c r="F1261" s="121"/>
      <c r="G1261" s="121"/>
      <c r="H1261" s="121"/>
      <c r="I1261" s="121"/>
      <c r="J1261" s="121"/>
      <c r="K1261" s="121"/>
      <c r="L1261" s="121"/>
      <c r="M1261" s="121"/>
      <c r="N1261" s="121"/>
      <c r="O1261" s="121"/>
      <c r="P1261" s="121"/>
      <c r="Q1261" s="121"/>
      <c r="R1261" s="121"/>
      <c r="S1261" s="121"/>
      <c r="T1261" s="121"/>
      <c r="U1261" s="121"/>
      <c r="V1261" s="121"/>
      <c r="W1261" s="121"/>
      <c r="X1261" s="121"/>
      <c r="Y1261" s="121"/>
      <c r="Z1261" s="121"/>
      <c r="AA1261" s="121"/>
      <c r="AB1261" s="121"/>
    </row>
    <row r="1262" spans="2:29" ht="13.5" customHeight="1">
      <c r="B1262" s="98" t="str">
        <f>CONCATENATE("- Documento de Solicitação: ",INFO!$B$24)</f>
        <v>- Documento de Solicitação: TESTE AZUL</v>
      </c>
      <c r="C1262" s="121"/>
      <c r="D1262" s="121"/>
      <c r="E1262" s="121"/>
      <c r="F1262" s="121"/>
      <c r="G1262" s="121"/>
      <c r="H1262" s="121"/>
      <c r="I1262" s="121"/>
      <c r="J1262" s="121"/>
      <c r="K1262" s="121"/>
      <c r="L1262" s="121"/>
      <c r="M1262" s="121"/>
      <c r="N1262" s="121"/>
      <c r="O1262" s="121"/>
      <c r="P1262" s="121"/>
      <c r="Q1262" s="121"/>
      <c r="R1262" s="121"/>
      <c r="S1262" s="121"/>
      <c r="T1262" s="121"/>
      <c r="U1262" s="121"/>
      <c r="V1262" s="121"/>
      <c r="W1262" s="121"/>
      <c r="X1262" s="121"/>
      <c r="Y1262" s="121"/>
      <c r="Z1262" s="121"/>
      <c r="AA1262" s="121"/>
      <c r="AB1262" s="121"/>
    </row>
    <row r="1263" spans="2:29" ht="13.5" customHeight="1">
      <c r="B1263" s="98" t="str">
        <f>CONCATENATE("- Local: ",INFO!$C$18)</f>
        <v>- Local: GUAIRA - PR</v>
      </c>
      <c r="C1263" s="121"/>
      <c r="D1263" s="121"/>
      <c r="E1263" s="121"/>
      <c r="F1263" s="121"/>
      <c r="G1263" s="121"/>
      <c r="H1263" s="121"/>
      <c r="I1263" s="121"/>
      <c r="J1263" s="121"/>
      <c r="K1263" s="121"/>
      <c r="L1263" s="121"/>
      <c r="M1263" s="121"/>
      <c r="N1263" s="121"/>
      <c r="O1263" s="121"/>
      <c r="P1263" s="121"/>
      <c r="Q1263" s="121"/>
      <c r="R1263" s="121"/>
      <c r="S1263" s="121"/>
      <c r="T1263" s="121"/>
      <c r="U1263" s="121"/>
      <c r="V1263" s="121"/>
      <c r="W1263" s="121"/>
      <c r="X1263" s="121"/>
      <c r="Y1263" s="121"/>
      <c r="Z1263" s="121"/>
      <c r="AA1263" s="121"/>
      <c r="AB1263" s="121"/>
    </row>
    <row r="1264" spans="2:29" ht="13.5" customHeight="1">
      <c r="B1264" s="98" t="str">
        <f>CONCATENATE("- Periodo: ",INFO!$C$10," a ",INFO!$C$19)</f>
        <v xml:space="preserve">- Periodo: 22/7/2025  a 23/8/2025 </v>
      </c>
      <c r="C1264" s="121"/>
      <c r="D1264" s="121"/>
      <c r="E1264" s="121"/>
      <c r="F1264" s="121"/>
      <c r="G1264" s="121"/>
      <c r="H1264" s="121"/>
      <c r="I1264" s="121"/>
      <c r="J1264" s="121"/>
      <c r="K1264" s="121"/>
      <c r="L1264" s="121"/>
      <c r="M1264" s="121"/>
      <c r="N1264" s="121"/>
      <c r="O1264" s="121"/>
      <c r="P1264" s="121"/>
      <c r="Q1264" s="121"/>
      <c r="R1264" s="121"/>
      <c r="S1264" s="121"/>
      <c r="T1264" s="121"/>
      <c r="U1264" s="121"/>
      <c r="V1264" s="121"/>
      <c r="W1264" s="121"/>
      <c r="X1264" s="121"/>
      <c r="Y1264" s="121"/>
      <c r="Z1264" s="121"/>
      <c r="AA1264" s="121"/>
      <c r="AB1264" s="121"/>
    </row>
    <row r="1265" spans="2:29" ht="13.5" customHeight="1">
      <c r="B1265" s="98" t="str">
        <f>CONCATENATE("- Nr Dias: ",INFO!$C$20)</f>
        <v>- Nr Dias: 33</v>
      </c>
      <c r="C1265" s="121"/>
      <c r="D1265" s="121"/>
      <c r="E1265" s="121"/>
      <c r="F1265" s="121"/>
      <c r="G1265" s="121"/>
      <c r="H1265" s="121"/>
      <c r="I1265" s="121"/>
      <c r="J1265" s="121"/>
      <c r="K1265" s="121"/>
      <c r="L1265" s="121"/>
      <c r="M1265" s="121"/>
      <c r="N1265" s="121"/>
      <c r="O1265" s="121"/>
      <c r="P1265" s="121"/>
      <c r="Q1265" s="121"/>
      <c r="R1265" s="121"/>
      <c r="S1265" s="121"/>
      <c r="T1265" s="121"/>
      <c r="U1265" s="121"/>
      <c r="V1265" s="121"/>
      <c r="W1265" s="121"/>
      <c r="X1265" s="121"/>
      <c r="Y1265" s="121"/>
      <c r="Z1265" s="121"/>
      <c r="AA1265" s="121"/>
      <c r="AB1265" s="121"/>
    </row>
    <row r="1266" spans="2:29" ht="13.5" customHeight="1">
      <c r="B1266" s="98" t="str">
        <f>CONCATENATE("- Valor Estimado: R$ ",INDEX(QSGR!$J$16:$J$11170,AC1259))</f>
        <v xml:space="preserve">- Valor Estimado: R$ </v>
      </c>
      <c r="C1266" s="121"/>
      <c r="D1266" s="121"/>
      <c r="E1266" s="121"/>
      <c r="F1266" s="121"/>
      <c r="G1266" s="121"/>
      <c r="H1266" s="121"/>
      <c r="I1266" s="121"/>
      <c r="J1266" s="121"/>
      <c r="K1266" s="121"/>
      <c r="L1266" s="121"/>
      <c r="M1266" s="121"/>
      <c r="N1266" s="121"/>
      <c r="O1266" s="121"/>
      <c r="P1266" s="121"/>
      <c r="Q1266" s="121"/>
      <c r="R1266" s="121"/>
      <c r="S1266" s="121"/>
      <c r="T1266" s="121"/>
      <c r="U1266" s="121"/>
      <c r="V1266" s="121"/>
      <c r="W1266" s="121"/>
      <c r="X1266" s="121"/>
      <c r="Y1266" s="121"/>
      <c r="Z1266" s="121"/>
      <c r="AA1266" s="121"/>
      <c r="AB1266" s="121"/>
    </row>
    <row r="1267" spans="2:29" ht="13.5" customHeight="1">
      <c r="B1267" s="100"/>
      <c r="C1267" s="121"/>
      <c r="D1267" s="121"/>
      <c r="E1267" s="121"/>
      <c r="F1267" s="121"/>
      <c r="G1267" s="121"/>
      <c r="H1267" s="121"/>
      <c r="I1267" s="121"/>
      <c r="J1267" s="121"/>
      <c r="K1267" s="121"/>
      <c r="L1267" s="121"/>
      <c r="M1267" s="121"/>
      <c r="N1267" s="121"/>
      <c r="O1267" s="121"/>
      <c r="P1267" s="121"/>
      <c r="Q1267" s="121"/>
      <c r="R1267" s="121"/>
      <c r="S1267" s="121"/>
      <c r="T1267" s="121"/>
      <c r="U1267" s="121"/>
      <c r="V1267" s="121"/>
      <c r="W1267" s="121"/>
      <c r="X1267" s="121"/>
      <c r="Y1267" s="121"/>
      <c r="Z1267" s="121"/>
      <c r="AA1267" s="121"/>
      <c r="AB1267" s="121"/>
    </row>
    <row r="1268" spans="2:29" ht="13.5" customHeight="1">
      <c r="B1268" s="98" t="s">
        <v>55</v>
      </c>
      <c r="C1268" s="121"/>
      <c r="D1268" s="121"/>
      <c r="E1268" s="121"/>
      <c r="F1268" s="121"/>
      <c r="G1268" s="121"/>
      <c r="H1268" s="121"/>
      <c r="I1268" s="121"/>
      <c r="J1268" s="121"/>
      <c r="K1268" s="121"/>
      <c r="L1268" s="121"/>
      <c r="M1268" s="121"/>
      <c r="N1268" s="121"/>
      <c r="O1268" s="121"/>
      <c r="P1268" s="121"/>
      <c r="Q1268" s="121"/>
      <c r="R1268" s="121"/>
      <c r="S1268" s="121"/>
      <c r="T1268" s="121"/>
      <c r="U1268" s="121"/>
      <c r="V1268" s="121"/>
      <c r="W1268" s="121"/>
      <c r="X1268" s="121"/>
      <c r="Y1268" s="121"/>
      <c r="Z1268" s="121"/>
      <c r="AA1268" s="121"/>
      <c r="AB1268" s="121"/>
      <c r="AC1268" s="37">
        <f>AC1259+1</f>
        <v>141</v>
      </c>
    </row>
    <row r="1269" spans="2:29" ht="13.5" customHeight="1">
      <c r="B1269" s="99">
        <f>INDEX(QSGR!$B$16:$B$1570,AC1268)</f>
        <v>0</v>
      </c>
      <c r="C1269" s="121"/>
      <c r="D1269" s="121"/>
      <c r="E1269" s="97">
        <f>INDEX(QSGR!$D$16:$D$11170,AC1268)</f>
        <v>0</v>
      </c>
      <c r="F1269" s="121"/>
      <c r="G1269" s="121"/>
      <c r="H1269" s="121"/>
      <c r="I1269" s="121"/>
      <c r="J1269" s="121"/>
      <c r="K1269" s="121"/>
      <c r="L1269" s="121"/>
      <c r="M1269" s="121"/>
      <c r="N1269" s="121"/>
      <c r="O1269" s="121"/>
      <c r="P1269" s="121"/>
      <c r="Q1269" s="121"/>
      <c r="R1269" s="121"/>
      <c r="S1269" s="121"/>
      <c r="T1269" s="121"/>
      <c r="U1269" s="121"/>
      <c r="V1269" s="121"/>
      <c r="W1269" s="121"/>
      <c r="X1269" s="121"/>
      <c r="Y1269" s="121"/>
      <c r="Z1269" s="121"/>
      <c r="AA1269" s="121"/>
      <c r="AB1269" s="121"/>
    </row>
    <row r="1270" spans="2:29" ht="13.5" customHeight="1">
      <c r="B1270" s="96" t="str">
        <f>CONCATENATE("- Evento: ",INFO!$B$22)</f>
        <v>- Evento: PARTICIPAR DA OPERAÇÃO HORUS.</v>
      </c>
      <c r="C1270" s="121"/>
      <c r="D1270" s="121"/>
      <c r="E1270" s="121"/>
      <c r="F1270" s="121"/>
      <c r="G1270" s="121"/>
      <c r="H1270" s="121"/>
      <c r="I1270" s="121"/>
      <c r="J1270" s="121"/>
      <c r="K1270" s="121"/>
      <c r="L1270" s="121"/>
      <c r="M1270" s="121"/>
      <c r="N1270" s="121"/>
      <c r="O1270" s="121"/>
      <c r="P1270" s="121"/>
      <c r="Q1270" s="121"/>
      <c r="R1270" s="121"/>
      <c r="S1270" s="121"/>
      <c r="T1270" s="121"/>
      <c r="U1270" s="121"/>
      <c r="V1270" s="121"/>
      <c r="W1270" s="121"/>
      <c r="X1270" s="121"/>
      <c r="Y1270" s="121"/>
      <c r="Z1270" s="121"/>
      <c r="AA1270" s="121"/>
      <c r="AB1270" s="121"/>
    </row>
    <row r="1271" spans="2:29" ht="13.5" customHeight="1">
      <c r="B1271" s="98" t="str">
        <f>CONCATENATE("- Documento de Solicitação: ",INFO!$B$24)</f>
        <v>- Documento de Solicitação: TESTE AZUL</v>
      </c>
      <c r="C1271" s="121"/>
      <c r="D1271" s="121"/>
      <c r="E1271" s="121"/>
      <c r="F1271" s="121"/>
      <c r="G1271" s="121"/>
      <c r="H1271" s="121"/>
      <c r="I1271" s="121"/>
      <c r="J1271" s="121"/>
      <c r="K1271" s="121"/>
      <c r="L1271" s="121"/>
      <c r="M1271" s="121"/>
      <c r="N1271" s="121"/>
      <c r="O1271" s="121"/>
      <c r="P1271" s="121"/>
      <c r="Q1271" s="121"/>
      <c r="R1271" s="121"/>
      <c r="S1271" s="121"/>
      <c r="T1271" s="121"/>
      <c r="U1271" s="121"/>
      <c r="V1271" s="121"/>
      <c r="W1271" s="121"/>
      <c r="X1271" s="121"/>
      <c r="Y1271" s="121"/>
      <c r="Z1271" s="121"/>
      <c r="AA1271" s="121"/>
      <c r="AB1271" s="121"/>
    </row>
    <row r="1272" spans="2:29" ht="13.5" customHeight="1">
      <c r="B1272" s="98" t="str">
        <f>CONCATENATE("- Local: ",INFO!$C$18)</f>
        <v>- Local: GUAIRA - PR</v>
      </c>
      <c r="C1272" s="121"/>
      <c r="D1272" s="121"/>
      <c r="E1272" s="121"/>
      <c r="F1272" s="121"/>
      <c r="G1272" s="121"/>
      <c r="H1272" s="121"/>
      <c r="I1272" s="121"/>
      <c r="J1272" s="121"/>
      <c r="K1272" s="121"/>
      <c r="L1272" s="121"/>
      <c r="M1272" s="121"/>
      <c r="N1272" s="121"/>
      <c r="O1272" s="121"/>
      <c r="P1272" s="121"/>
      <c r="Q1272" s="121"/>
      <c r="R1272" s="121"/>
      <c r="S1272" s="121"/>
      <c r="T1272" s="121"/>
      <c r="U1272" s="121"/>
      <c r="V1272" s="121"/>
      <c r="W1272" s="121"/>
      <c r="X1272" s="121"/>
      <c r="Y1272" s="121"/>
      <c r="Z1272" s="121"/>
      <c r="AA1272" s="121"/>
      <c r="AB1272" s="121"/>
    </row>
    <row r="1273" spans="2:29" ht="13.5" customHeight="1">
      <c r="B1273" s="98" t="str">
        <f>CONCATENATE("- Periodo: ",INFO!$C$10," a ",INFO!$C$19)</f>
        <v xml:space="preserve">- Periodo: 22/7/2025  a 23/8/2025 </v>
      </c>
      <c r="C1273" s="121"/>
      <c r="D1273" s="121"/>
      <c r="E1273" s="121"/>
      <c r="F1273" s="121"/>
      <c r="G1273" s="121"/>
      <c r="H1273" s="121"/>
      <c r="I1273" s="121"/>
      <c r="J1273" s="121"/>
      <c r="K1273" s="121"/>
      <c r="L1273" s="121"/>
      <c r="M1273" s="121"/>
      <c r="N1273" s="121"/>
      <c r="O1273" s="121"/>
      <c r="P1273" s="121"/>
      <c r="Q1273" s="121"/>
      <c r="R1273" s="121"/>
      <c r="S1273" s="121"/>
      <c r="T1273" s="121"/>
      <c r="U1273" s="121"/>
      <c r="V1273" s="121"/>
      <c r="W1273" s="121"/>
      <c r="X1273" s="121"/>
      <c r="Y1273" s="121"/>
      <c r="Z1273" s="121"/>
      <c r="AA1273" s="121"/>
      <c r="AB1273" s="121"/>
    </row>
    <row r="1274" spans="2:29" ht="13.5" customHeight="1">
      <c r="B1274" s="98" t="str">
        <f>CONCATENATE("- Nr Dias: ",INFO!$C$20)</f>
        <v>- Nr Dias: 33</v>
      </c>
      <c r="C1274" s="121"/>
      <c r="D1274" s="121"/>
      <c r="E1274" s="121"/>
      <c r="F1274" s="121"/>
      <c r="G1274" s="121"/>
      <c r="H1274" s="121"/>
      <c r="I1274" s="121"/>
      <c r="J1274" s="121"/>
      <c r="K1274" s="121"/>
      <c r="L1274" s="121"/>
      <c r="M1274" s="121"/>
      <c r="N1274" s="121"/>
      <c r="O1274" s="121"/>
      <c r="P1274" s="121"/>
      <c r="Q1274" s="121"/>
      <c r="R1274" s="121"/>
      <c r="S1274" s="121"/>
      <c r="T1274" s="121"/>
      <c r="U1274" s="121"/>
      <c r="V1274" s="121"/>
      <c r="W1274" s="121"/>
      <c r="X1274" s="121"/>
      <c r="Y1274" s="121"/>
      <c r="Z1274" s="121"/>
      <c r="AA1274" s="121"/>
      <c r="AB1274" s="121"/>
    </row>
    <row r="1275" spans="2:29" ht="13.5" customHeight="1">
      <c r="B1275" s="98" t="str">
        <f>CONCATENATE("- Valor Estimado: R$ ",INDEX(QSGR!$J$16:$J$11170,AC1268))</f>
        <v xml:space="preserve">- Valor Estimado: R$ </v>
      </c>
      <c r="C1275" s="121"/>
      <c r="D1275" s="121"/>
      <c r="E1275" s="121"/>
      <c r="F1275" s="121"/>
      <c r="G1275" s="121"/>
      <c r="H1275" s="121"/>
      <c r="I1275" s="121"/>
      <c r="J1275" s="121"/>
      <c r="K1275" s="121"/>
      <c r="L1275" s="121"/>
      <c r="M1275" s="121"/>
      <c r="N1275" s="121"/>
      <c r="O1275" s="121"/>
      <c r="P1275" s="121"/>
      <c r="Q1275" s="121"/>
      <c r="R1275" s="121"/>
      <c r="S1275" s="121"/>
      <c r="T1275" s="121"/>
      <c r="U1275" s="121"/>
      <c r="V1275" s="121"/>
      <c r="W1275" s="121"/>
      <c r="X1275" s="121"/>
      <c r="Y1275" s="121"/>
      <c r="Z1275" s="121"/>
      <c r="AA1275" s="121"/>
      <c r="AB1275" s="121"/>
    </row>
    <row r="1276" spans="2:29" ht="13.5" customHeight="1">
      <c r="B1276" s="100"/>
      <c r="C1276" s="121"/>
      <c r="D1276" s="121"/>
      <c r="E1276" s="121"/>
      <c r="F1276" s="121"/>
      <c r="G1276" s="121"/>
      <c r="H1276" s="121"/>
      <c r="I1276" s="121"/>
      <c r="J1276" s="121"/>
      <c r="K1276" s="121"/>
      <c r="L1276" s="121"/>
      <c r="M1276" s="121"/>
      <c r="N1276" s="121"/>
      <c r="O1276" s="121"/>
      <c r="P1276" s="121"/>
      <c r="Q1276" s="121"/>
      <c r="R1276" s="121"/>
      <c r="S1276" s="121"/>
      <c r="T1276" s="121"/>
      <c r="U1276" s="121"/>
      <c r="V1276" s="121"/>
      <c r="W1276" s="121"/>
      <c r="X1276" s="121"/>
      <c r="Y1276" s="121"/>
      <c r="Z1276" s="121"/>
      <c r="AA1276" s="121"/>
      <c r="AB1276" s="121"/>
    </row>
    <row r="1277" spans="2:29" ht="13.5" customHeight="1">
      <c r="B1277" s="98" t="s">
        <v>55</v>
      </c>
      <c r="C1277" s="121"/>
      <c r="D1277" s="121"/>
      <c r="E1277" s="121"/>
      <c r="F1277" s="121"/>
      <c r="G1277" s="121"/>
      <c r="H1277" s="121"/>
      <c r="I1277" s="121"/>
      <c r="J1277" s="121"/>
      <c r="K1277" s="121"/>
      <c r="L1277" s="121"/>
      <c r="M1277" s="121"/>
      <c r="N1277" s="121"/>
      <c r="O1277" s="121"/>
      <c r="P1277" s="121"/>
      <c r="Q1277" s="121"/>
      <c r="R1277" s="121"/>
      <c r="S1277" s="121"/>
      <c r="T1277" s="121"/>
      <c r="U1277" s="121"/>
      <c r="V1277" s="121"/>
      <c r="W1277" s="121"/>
      <c r="X1277" s="121"/>
      <c r="Y1277" s="121"/>
      <c r="Z1277" s="121"/>
      <c r="AA1277" s="121"/>
      <c r="AB1277" s="121"/>
      <c r="AC1277" s="37">
        <f>AC1268+1</f>
        <v>142</v>
      </c>
    </row>
    <row r="1278" spans="2:29" ht="13.5" customHeight="1">
      <c r="B1278" s="99">
        <f>INDEX(QSGR!$B$16:$B$1570,AC1277)</f>
        <v>0</v>
      </c>
      <c r="C1278" s="121"/>
      <c r="D1278" s="121"/>
      <c r="E1278" s="97">
        <f>INDEX(QSGR!$D$16:$D$11170,AC1277)</f>
        <v>0</v>
      </c>
      <c r="F1278" s="121"/>
      <c r="G1278" s="121"/>
      <c r="H1278" s="121"/>
      <c r="I1278" s="121"/>
      <c r="J1278" s="121"/>
      <c r="K1278" s="121"/>
      <c r="L1278" s="121"/>
      <c r="M1278" s="121"/>
      <c r="N1278" s="121"/>
      <c r="O1278" s="121"/>
      <c r="P1278" s="121"/>
      <c r="Q1278" s="121"/>
      <c r="R1278" s="121"/>
      <c r="S1278" s="121"/>
      <c r="T1278" s="121"/>
      <c r="U1278" s="121"/>
      <c r="V1278" s="121"/>
      <c r="W1278" s="121"/>
      <c r="X1278" s="121"/>
      <c r="Y1278" s="121"/>
      <c r="Z1278" s="121"/>
      <c r="AA1278" s="121"/>
      <c r="AB1278" s="121"/>
    </row>
    <row r="1279" spans="2:29" ht="13.5" customHeight="1">
      <c r="B1279" s="96" t="str">
        <f>CONCATENATE("- Evento: ",INFO!$B$22)</f>
        <v>- Evento: PARTICIPAR DA OPERAÇÃO HORUS.</v>
      </c>
      <c r="C1279" s="121"/>
      <c r="D1279" s="121"/>
      <c r="E1279" s="121"/>
      <c r="F1279" s="121"/>
      <c r="G1279" s="121"/>
      <c r="H1279" s="121"/>
      <c r="I1279" s="121"/>
      <c r="J1279" s="121"/>
      <c r="K1279" s="121"/>
      <c r="L1279" s="121"/>
      <c r="M1279" s="121"/>
      <c r="N1279" s="121"/>
      <c r="O1279" s="121"/>
      <c r="P1279" s="121"/>
      <c r="Q1279" s="121"/>
      <c r="R1279" s="121"/>
      <c r="S1279" s="121"/>
      <c r="T1279" s="121"/>
      <c r="U1279" s="121"/>
      <c r="V1279" s="121"/>
      <c r="W1279" s="121"/>
      <c r="X1279" s="121"/>
      <c r="Y1279" s="121"/>
      <c r="Z1279" s="121"/>
      <c r="AA1279" s="121"/>
      <c r="AB1279" s="121"/>
    </row>
    <row r="1280" spans="2:29" ht="13.5" customHeight="1">
      <c r="B1280" s="98" t="str">
        <f>CONCATENATE("- Documento de Solicitação: ",INFO!$B$24)</f>
        <v>- Documento de Solicitação: TESTE AZUL</v>
      </c>
      <c r="C1280" s="121"/>
      <c r="D1280" s="121"/>
      <c r="E1280" s="121"/>
      <c r="F1280" s="121"/>
      <c r="G1280" s="121"/>
      <c r="H1280" s="121"/>
      <c r="I1280" s="121"/>
      <c r="J1280" s="121"/>
      <c r="K1280" s="121"/>
      <c r="L1280" s="121"/>
      <c r="M1280" s="121"/>
      <c r="N1280" s="121"/>
      <c r="O1280" s="121"/>
      <c r="P1280" s="121"/>
      <c r="Q1280" s="121"/>
      <c r="R1280" s="121"/>
      <c r="S1280" s="121"/>
      <c r="T1280" s="121"/>
      <c r="U1280" s="121"/>
      <c r="V1280" s="121"/>
      <c r="W1280" s="121"/>
      <c r="X1280" s="121"/>
      <c r="Y1280" s="121"/>
      <c r="Z1280" s="121"/>
      <c r="AA1280" s="121"/>
      <c r="AB1280" s="121"/>
    </row>
    <row r="1281" spans="2:29" ht="13.5" customHeight="1">
      <c r="B1281" s="98" t="str">
        <f>CONCATENATE("- Local: ",INFO!$C$18)</f>
        <v>- Local: GUAIRA - PR</v>
      </c>
      <c r="C1281" s="121"/>
      <c r="D1281" s="121"/>
      <c r="E1281" s="121"/>
      <c r="F1281" s="121"/>
      <c r="G1281" s="121"/>
      <c r="H1281" s="121"/>
      <c r="I1281" s="121"/>
      <c r="J1281" s="121"/>
      <c r="K1281" s="121"/>
      <c r="L1281" s="121"/>
      <c r="M1281" s="121"/>
      <c r="N1281" s="121"/>
      <c r="O1281" s="121"/>
      <c r="P1281" s="121"/>
      <c r="Q1281" s="121"/>
      <c r="R1281" s="121"/>
      <c r="S1281" s="121"/>
      <c r="T1281" s="121"/>
      <c r="U1281" s="121"/>
      <c r="V1281" s="121"/>
      <c r="W1281" s="121"/>
      <c r="X1281" s="121"/>
      <c r="Y1281" s="121"/>
      <c r="Z1281" s="121"/>
      <c r="AA1281" s="121"/>
      <c r="AB1281" s="121"/>
    </row>
    <row r="1282" spans="2:29" ht="13.5" customHeight="1">
      <c r="B1282" s="98" t="str">
        <f>CONCATENATE("- Periodo: ",INFO!$C$10," a ",INFO!$C$19)</f>
        <v xml:space="preserve">- Periodo: 22/7/2025  a 23/8/2025 </v>
      </c>
      <c r="C1282" s="121"/>
      <c r="D1282" s="121"/>
      <c r="E1282" s="121"/>
      <c r="F1282" s="121"/>
      <c r="G1282" s="121"/>
      <c r="H1282" s="121"/>
      <c r="I1282" s="121"/>
      <c r="J1282" s="121"/>
      <c r="K1282" s="121"/>
      <c r="L1282" s="121"/>
      <c r="M1282" s="121"/>
      <c r="N1282" s="121"/>
      <c r="O1282" s="121"/>
      <c r="P1282" s="121"/>
      <c r="Q1282" s="121"/>
      <c r="R1282" s="121"/>
      <c r="S1282" s="121"/>
      <c r="T1282" s="121"/>
      <c r="U1282" s="121"/>
      <c r="V1282" s="121"/>
      <c r="W1282" s="121"/>
      <c r="X1282" s="121"/>
      <c r="Y1282" s="121"/>
      <c r="Z1282" s="121"/>
      <c r="AA1282" s="121"/>
      <c r="AB1282" s="121"/>
    </row>
    <row r="1283" spans="2:29" ht="13.5" customHeight="1">
      <c r="B1283" s="98" t="str">
        <f>CONCATENATE("- Nr Dias: ",INFO!$C$20)</f>
        <v>- Nr Dias: 33</v>
      </c>
      <c r="C1283" s="121"/>
      <c r="D1283" s="121"/>
      <c r="E1283" s="121"/>
      <c r="F1283" s="121"/>
      <c r="G1283" s="121"/>
      <c r="H1283" s="121"/>
      <c r="I1283" s="121"/>
      <c r="J1283" s="121"/>
      <c r="K1283" s="121"/>
      <c r="L1283" s="121"/>
      <c r="M1283" s="121"/>
      <c r="N1283" s="121"/>
      <c r="O1283" s="121"/>
      <c r="P1283" s="121"/>
      <c r="Q1283" s="121"/>
      <c r="R1283" s="121"/>
      <c r="S1283" s="121"/>
      <c r="T1283" s="121"/>
      <c r="U1283" s="121"/>
      <c r="V1283" s="121"/>
      <c r="W1283" s="121"/>
      <c r="X1283" s="121"/>
      <c r="Y1283" s="121"/>
      <c r="Z1283" s="121"/>
      <c r="AA1283" s="121"/>
      <c r="AB1283" s="121"/>
    </row>
    <row r="1284" spans="2:29" ht="13.5" customHeight="1">
      <c r="B1284" s="98" t="str">
        <f>CONCATENATE("- Valor Estimado: R$ ",INDEX(QSGR!$J$16:$J$11170,AC1277))</f>
        <v xml:space="preserve">- Valor Estimado: R$ </v>
      </c>
      <c r="C1284" s="121"/>
      <c r="D1284" s="121"/>
      <c r="E1284" s="121"/>
      <c r="F1284" s="121"/>
      <c r="G1284" s="121"/>
      <c r="H1284" s="121"/>
      <c r="I1284" s="121"/>
      <c r="J1284" s="121"/>
      <c r="K1284" s="121"/>
      <c r="L1284" s="121"/>
      <c r="M1284" s="121"/>
      <c r="N1284" s="121"/>
      <c r="O1284" s="121"/>
      <c r="P1284" s="121"/>
      <c r="Q1284" s="121"/>
      <c r="R1284" s="121"/>
      <c r="S1284" s="121"/>
      <c r="T1284" s="121"/>
      <c r="U1284" s="121"/>
      <c r="V1284" s="121"/>
      <c r="W1284" s="121"/>
      <c r="X1284" s="121"/>
      <c r="Y1284" s="121"/>
      <c r="Z1284" s="121"/>
      <c r="AA1284" s="121"/>
      <c r="AB1284" s="121"/>
    </row>
    <row r="1285" spans="2:29" ht="13.5" customHeight="1">
      <c r="B1285" s="100"/>
      <c r="C1285" s="121"/>
      <c r="D1285" s="121"/>
      <c r="E1285" s="121"/>
      <c r="F1285" s="121"/>
      <c r="G1285" s="121"/>
      <c r="H1285" s="121"/>
      <c r="I1285" s="121"/>
      <c r="J1285" s="121"/>
      <c r="K1285" s="121"/>
      <c r="L1285" s="121"/>
      <c r="M1285" s="121"/>
      <c r="N1285" s="121"/>
      <c r="O1285" s="121"/>
      <c r="P1285" s="121"/>
      <c r="Q1285" s="121"/>
      <c r="R1285" s="121"/>
      <c r="S1285" s="121"/>
      <c r="T1285" s="121"/>
      <c r="U1285" s="121"/>
      <c r="V1285" s="121"/>
      <c r="W1285" s="121"/>
      <c r="X1285" s="121"/>
      <c r="Y1285" s="121"/>
      <c r="Z1285" s="121"/>
      <c r="AA1285" s="121"/>
      <c r="AB1285" s="121"/>
    </row>
    <row r="1286" spans="2:29" ht="13.5" customHeight="1">
      <c r="B1286" s="98" t="s">
        <v>55</v>
      </c>
      <c r="C1286" s="121"/>
      <c r="D1286" s="121"/>
      <c r="E1286" s="121"/>
      <c r="F1286" s="121"/>
      <c r="G1286" s="121"/>
      <c r="H1286" s="121"/>
      <c r="I1286" s="121"/>
      <c r="J1286" s="121"/>
      <c r="K1286" s="121"/>
      <c r="L1286" s="121"/>
      <c r="M1286" s="121"/>
      <c r="N1286" s="121"/>
      <c r="O1286" s="121"/>
      <c r="P1286" s="121"/>
      <c r="Q1286" s="121"/>
      <c r="R1286" s="121"/>
      <c r="S1286" s="121"/>
      <c r="T1286" s="121"/>
      <c r="U1286" s="121"/>
      <c r="V1286" s="121"/>
      <c r="W1286" s="121"/>
      <c r="X1286" s="121"/>
      <c r="Y1286" s="121"/>
      <c r="Z1286" s="121"/>
      <c r="AA1286" s="121"/>
      <c r="AB1286" s="121"/>
      <c r="AC1286" s="37">
        <f>AC1277+1</f>
        <v>143</v>
      </c>
    </row>
    <row r="1287" spans="2:29" ht="13.5" customHeight="1">
      <c r="B1287" s="99">
        <f>INDEX(QSGR!$B$16:$B$1570,AC1286)</f>
        <v>0</v>
      </c>
      <c r="C1287" s="121"/>
      <c r="D1287" s="121"/>
      <c r="E1287" s="97">
        <f>INDEX(QSGR!$D$16:$D$11170,AC1286)</f>
        <v>0</v>
      </c>
      <c r="F1287" s="121"/>
      <c r="G1287" s="121"/>
      <c r="H1287" s="121"/>
      <c r="I1287" s="121"/>
      <c r="J1287" s="121"/>
      <c r="K1287" s="121"/>
      <c r="L1287" s="121"/>
      <c r="M1287" s="121"/>
      <c r="N1287" s="121"/>
      <c r="O1287" s="121"/>
      <c r="P1287" s="121"/>
      <c r="Q1287" s="121"/>
      <c r="R1287" s="121"/>
      <c r="S1287" s="121"/>
      <c r="T1287" s="121"/>
      <c r="U1287" s="121"/>
      <c r="V1287" s="121"/>
      <c r="W1287" s="121"/>
      <c r="X1287" s="121"/>
      <c r="Y1287" s="121"/>
      <c r="Z1287" s="121"/>
      <c r="AA1287" s="121"/>
      <c r="AB1287" s="121"/>
    </row>
    <row r="1288" spans="2:29" ht="13.5" customHeight="1">
      <c r="B1288" s="96" t="str">
        <f>CONCATENATE("- Evento: ",INFO!$B$22)</f>
        <v>- Evento: PARTICIPAR DA OPERAÇÃO HORUS.</v>
      </c>
      <c r="C1288" s="121"/>
      <c r="D1288" s="121"/>
      <c r="E1288" s="121"/>
      <c r="F1288" s="121"/>
      <c r="G1288" s="121"/>
      <c r="H1288" s="121"/>
      <c r="I1288" s="121"/>
      <c r="J1288" s="121"/>
      <c r="K1288" s="121"/>
      <c r="L1288" s="121"/>
      <c r="M1288" s="121"/>
      <c r="N1288" s="121"/>
      <c r="O1288" s="121"/>
      <c r="P1288" s="121"/>
      <c r="Q1288" s="121"/>
      <c r="R1288" s="121"/>
      <c r="S1288" s="121"/>
      <c r="T1288" s="121"/>
      <c r="U1288" s="121"/>
      <c r="V1288" s="121"/>
      <c r="W1288" s="121"/>
      <c r="X1288" s="121"/>
      <c r="Y1288" s="121"/>
      <c r="Z1288" s="121"/>
      <c r="AA1288" s="121"/>
      <c r="AB1288" s="121"/>
    </row>
    <row r="1289" spans="2:29" ht="13.5" customHeight="1">
      <c r="B1289" s="98" t="str">
        <f>CONCATENATE("- Documento de Solicitação: ",INFO!$B$24)</f>
        <v>- Documento de Solicitação: TESTE AZUL</v>
      </c>
      <c r="C1289" s="121"/>
      <c r="D1289" s="121"/>
      <c r="E1289" s="121"/>
      <c r="F1289" s="121"/>
      <c r="G1289" s="121"/>
      <c r="H1289" s="121"/>
      <c r="I1289" s="121"/>
      <c r="J1289" s="121"/>
      <c r="K1289" s="121"/>
      <c r="L1289" s="121"/>
      <c r="M1289" s="121"/>
      <c r="N1289" s="121"/>
      <c r="O1289" s="121"/>
      <c r="P1289" s="121"/>
      <c r="Q1289" s="121"/>
      <c r="R1289" s="121"/>
      <c r="S1289" s="121"/>
      <c r="T1289" s="121"/>
      <c r="U1289" s="121"/>
      <c r="V1289" s="121"/>
      <c r="W1289" s="121"/>
      <c r="X1289" s="121"/>
      <c r="Y1289" s="121"/>
      <c r="Z1289" s="121"/>
      <c r="AA1289" s="121"/>
      <c r="AB1289" s="121"/>
    </row>
    <row r="1290" spans="2:29" ht="13.5" customHeight="1">
      <c r="B1290" s="98" t="str">
        <f>CONCATENATE("- Local: ",INFO!$C$18)</f>
        <v>- Local: GUAIRA - PR</v>
      </c>
      <c r="C1290" s="121"/>
      <c r="D1290" s="121"/>
      <c r="E1290" s="121"/>
      <c r="F1290" s="121"/>
      <c r="G1290" s="121"/>
      <c r="H1290" s="121"/>
      <c r="I1290" s="121"/>
      <c r="J1290" s="121"/>
      <c r="K1290" s="121"/>
      <c r="L1290" s="121"/>
      <c r="M1290" s="121"/>
      <c r="N1290" s="121"/>
      <c r="O1290" s="121"/>
      <c r="P1290" s="121"/>
      <c r="Q1290" s="121"/>
      <c r="R1290" s="121"/>
      <c r="S1290" s="121"/>
      <c r="T1290" s="121"/>
      <c r="U1290" s="121"/>
      <c r="V1290" s="121"/>
      <c r="W1290" s="121"/>
      <c r="X1290" s="121"/>
      <c r="Y1290" s="121"/>
      <c r="Z1290" s="121"/>
      <c r="AA1290" s="121"/>
      <c r="AB1290" s="121"/>
    </row>
    <row r="1291" spans="2:29" ht="13.5" customHeight="1">
      <c r="B1291" s="98" t="str">
        <f>CONCATENATE("- Periodo: ",INFO!$C$10," a ",INFO!$C$19)</f>
        <v xml:space="preserve">- Periodo: 22/7/2025  a 23/8/2025 </v>
      </c>
      <c r="C1291" s="121"/>
      <c r="D1291" s="121"/>
      <c r="E1291" s="121"/>
      <c r="F1291" s="121"/>
      <c r="G1291" s="121"/>
      <c r="H1291" s="121"/>
      <c r="I1291" s="121"/>
      <c r="J1291" s="121"/>
      <c r="K1291" s="121"/>
      <c r="L1291" s="121"/>
      <c r="M1291" s="121"/>
      <c r="N1291" s="121"/>
      <c r="O1291" s="121"/>
      <c r="P1291" s="121"/>
      <c r="Q1291" s="121"/>
      <c r="R1291" s="121"/>
      <c r="S1291" s="121"/>
      <c r="T1291" s="121"/>
      <c r="U1291" s="121"/>
      <c r="V1291" s="121"/>
      <c r="W1291" s="121"/>
      <c r="X1291" s="121"/>
      <c r="Y1291" s="121"/>
      <c r="Z1291" s="121"/>
      <c r="AA1291" s="121"/>
      <c r="AB1291" s="121"/>
    </row>
    <row r="1292" spans="2:29" ht="13.5" customHeight="1">
      <c r="B1292" s="98" t="str">
        <f>CONCATENATE("- Nr Dias: ",INFO!$C$20)</f>
        <v>- Nr Dias: 33</v>
      </c>
      <c r="C1292" s="121"/>
      <c r="D1292" s="121"/>
      <c r="E1292" s="121"/>
      <c r="F1292" s="121"/>
      <c r="G1292" s="121"/>
      <c r="H1292" s="121"/>
      <c r="I1292" s="121"/>
      <c r="J1292" s="121"/>
      <c r="K1292" s="121"/>
      <c r="L1292" s="121"/>
      <c r="M1292" s="121"/>
      <c r="N1292" s="121"/>
      <c r="O1292" s="121"/>
      <c r="P1292" s="121"/>
      <c r="Q1292" s="121"/>
      <c r="R1292" s="121"/>
      <c r="S1292" s="121"/>
      <c r="T1292" s="121"/>
      <c r="U1292" s="121"/>
      <c r="V1292" s="121"/>
      <c r="W1292" s="121"/>
      <c r="X1292" s="121"/>
      <c r="Y1292" s="121"/>
      <c r="Z1292" s="121"/>
      <c r="AA1292" s="121"/>
      <c r="AB1292" s="121"/>
    </row>
    <row r="1293" spans="2:29" ht="13.5" customHeight="1">
      <c r="B1293" s="98" t="str">
        <f>CONCATENATE("- Valor Estimado: R$ ",INDEX(QSGR!$J$16:$J$11170,AC1286))</f>
        <v xml:space="preserve">- Valor Estimado: R$ </v>
      </c>
      <c r="C1293" s="121"/>
      <c r="D1293" s="121"/>
      <c r="E1293" s="121"/>
      <c r="F1293" s="121"/>
      <c r="G1293" s="121"/>
      <c r="H1293" s="121"/>
      <c r="I1293" s="121"/>
      <c r="J1293" s="121"/>
      <c r="K1293" s="121"/>
      <c r="L1293" s="121"/>
      <c r="M1293" s="121"/>
      <c r="N1293" s="121"/>
      <c r="O1293" s="121"/>
      <c r="P1293" s="121"/>
      <c r="Q1293" s="121"/>
      <c r="R1293" s="121"/>
      <c r="S1293" s="121"/>
      <c r="T1293" s="121"/>
      <c r="U1293" s="121"/>
      <c r="V1293" s="121"/>
      <c r="W1293" s="121"/>
      <c r="X1293" s="121"/>
      <c r="Y1293" s="121"/>
      <c r="Z1293" s="121"/>
      <c r="AA1293" s="121"/>
      <c r="AB1293" s="121"/>
    </row>
    <row r="1294" spans="2:29" ht="13.5" customHeight="1">
      <c r="B1294" s="100"/>
      <c r="C1294" s="121"/>
      <c r="D1294" s="121"/>
      <c r="E1294" s="121"/>
      <c r="F1294" s="121"/>
      <c r="G1294" s="121"/>
      <c r="H1294" s="121"/>
      <c r="I1294" s="121"/>
      <c r="J1294" s="121"/>
      <c r="K1294" s="121"/>
      <c r="L1294" s="121"/>
      <c r="M1294" s="121"/>
      <c r="N1294" s="121"/>
      <c r="O1294" s="121"/>
      <c r="P1294" s="121"/>
      <c r="Q1294" s="121"/>
      <c r="R1294" s="121"/>
      <c r="S1294" s="121"/>
      <c r="T1294" s="121"/>
      <c r="U1294" s="121"/>
      <c r="V1294" s="121"/>
      <c r="W1294" s="121"/>
      <c r="X1294" s="121"/>
      <c r="Y1294" s="121"/>
      <c r="Z1294" s="121"/>
      <c r="AA1294" s="121"/>
      <c r="AB1294" s="121"/>
    </row>
    <row r="1295" spans="2:29" ht="13.5" customHeight="1">
      <c r="B1295" s="98" t="s">
        <v>55</v>
      </c>
      <c r="C1295" s="121"/>
      <c r="D1295" s="121"/>
      <c r="E1295" s="121"/>
      <c r="F1295" s="121"/>
      <c r="G1295" s="121"/>
      <c r="H1295" s="121"/>
      <c r="I1295" s="121"/>
      <c r="J1295" s="121"/>
      <c r="K1295" s="121"/>
      <c r="L1295" s="121"/>
      <c r="M1295" s="121"/>
      <c r="N1295" s="121"/>
      <c r="O1295" s="121"/>
      <c r="P1295" s="121"/>
      <c r="Q1295" s="121"/>
      <c r="R1295" s="121"/>
      <c r="S1295" s="121"/>
      <c r="T1295" s="121"/>
      <c r="U1295" s="121"/>
      <c r="V1295" s="121"/>
      <c r="W1295" s="121"/>
      <c r="X1295" s="121"/>
      <c r="Y1295" s="121"/>
      <c r="Z1295" s="121"/>
      <c r="AA1295" s="121"/>
      <c r="AB1295" s="121"/>
      <c r="AC1295" s="37">
        <f>AC1286+1</f>
        <v>144</v>
      </c>
    </row>
    <row r="1296" spans="2:29" ht="13.5" customHeight="1">
      <c r="B1296" s="99">
        <f>INDEX(QSGR!$B$16:$B$1570,AC1295)</f>
        <v>0</v>
      </c>
      <c r="C1296" s="121"/>
      <c r="D1296" s="121"/>
      <c r="E1296" s="97">
        <f>INDEX(QSGR!$D$16:$D$11170,AC1295)</f>
        <v>0</v>
      </c>
      <c r="F1296" s="121"/>
      <c r="G1296" s="121"/>
      <c r="H1296" s="121"/>
      <c r="I1296" s="121"/>
      <c r="J1296" s="121"/>
      <c r="K1296" s="121"/>
      <c r="L1296" s="121"/>
      <c r="M1296" s="121"/>
      <c r="N1296" s="121"/>
      <c r="O1296" s="121"/>
      <c r="P1296" s="121"/>
      <c r="Q1296" s="121"/>
      <c r="R1296" s="121"/>
      <c r="S1296" s="121"/>
      <c r="T1296" s="121"/>
      <c r="U1296" s="121"/>
      <c r="V1296" s="121"/>
      <c r="W1296" s="121"/>
      <c r="X1296" s="121"/>
      <c r="Y1296" s="121"/>
      <c r="Z1296" s="121"/>
      <c r="AA1296" s="121"/>
      <c r="AB1296" s="121"/>
    </row>
    <row r="1297" spans="2:29" ht="13.5" customHeight="1">
      <c r="B1297" s="96" t="str">
        <f>CONCATENATE("- Evento: ",INFO!$B$22)</f>
        <v>- Evento: PARTICIPAR DA OPERAÇÃO HORUS.</v>
      </c>
      <c r="C1297" s="121"/>
      <c r="D1297" s="121"/>
      <c r="E1297" s="121"/>
      <c r="F1297" s="121"/>
      <c r="G1297" s="121"/>
      <c r="H1297" s="121"/>
      <c r="I1297" s="121"/>
      <c r="J1297" s="121"/>
      <c r="K1297" s="121"/>
      <c r="L1297" s="121"/>
      <c r="M1297" s="121"/>
      <c r="N1297" s="121"/>
      <c r="O1297" s="121"/>
      <c r="P1297" s="121"/>
      <c r="Q1297" s="121"/>
      <c r="R1297" s="121"/>
      <c r="S1297" s="121"/>
      <c r="T1297" s="121"/>
      <c r="U1297" s="121"/>
      <c r="V1297" s="121"/>
      <c r="W1297" s="121"/>
      <c r="X1297" s="121"/>
      <c r="Y1297" s="121"/>
      <c r="Z1297" s="121"/>
      <c r="AA1297" s="121"/>
      <c r="AB1297" s="121"/>
    </row>
    <row r="1298" spans="2:29" ht="13.5" customHeight="1">
      <c r="B1298" s="98" t="str">
        <f>CONCATENATE("- Documento de Solicitação: ",INFO!$B$24)</f>
        <v>- Documento de Solicitação: TESTE AZUL</v>
      </c>
      <c r="C1298" s="121"/>
      <c r="D1298" s="121"/>
      <c r="E1298" s="121"/>
      <c r="F1298" s="121"/>
      <c r="G1298" s="121"/>
      <c r="H1298" s="121"/>
      <c r="I1298" s="121"/>
      <c r="J1298" s="121"/>
      <c r="K1298" s="121"/>
      <c r="L1298" s="121"/>
      <c r="M1298" s="121"/>
      <c r="N1298" s="121"/>
      <c r="O1298" s="121"/>
      <c r="P1298" s="121"/>
      <c r="Q1298" s="121"/>
      <c r="R1298" s="121"/>
      <c r="S1298" s="121"/>
      <c r="T1298" s="121"/>
      <c r="U1298" s="121"/>
      <c r="V1298" s="121"/>
      <c r="W1298" s="121"/>
      <c r="X1298" s="121"/>
      <c r="Y1298" s="121"/>
      <c r="Z1298" s="121"/>
      <c r="AA1298" s="121"/>
      <c r="AB1298" s="121"/>
    </row>
    <row r="1299" spans="2:29" ht="13.5" customHeight="1">
      <c r="B1299" s="98" t="str">
        <f>CONCATENATE("- Local: ",INFO!$C$18)</f>
        <v>- Local: GUAIRA - PR</v>
      </c>
      <c r="C1299" s="121"/>
      <c r="D1299" s="121"/>
      <c r="E1299" s="121"/>
      <c r="F1299" s="121"/>
      <c r="G1299" s="121"/>
      <c r="H1299" s="121"/>
      <c r="I1299" s="121"/>
      <c r="J1299" s="121"/>
      <c r="K1299" s="121"/>
      <c r="L1299" s="121"/>
      <c r="M1299" s="121"/>
      <c r="N1299" s="121"/>
      <c r="O1299" s="121"/>
      <c r="P1299" s="121"/>
      <c r="Q1299" s="121"/>
      <c r="R1299" s="121"/>
      <c r="S1299" s="121"/>
      <c r="T1299" s="121"/>
      <c r="U1299" s="121"/>
      <c r="V1299" s="121"/>
      <c r="W1299" s="121"/>
      <c r="X1299" s="121"/>
      <c r="Y1299" s="121"/>
      <c r="Z1299" s="121"/>
      <c r="AA1299" s="121"/>
      <c r="AB1299" s="121"/>
    </row>
    <row r="1300" spans="2:29" ht="13.5" customHeight="1">
      <c r="B1300" s="98" t="str">
        <f>CONCATENATE("- Periodo: ",INFO!$C$10," a ",INFO!$C$19)</f>
        <v xml:space="preserve">- Periodo: 22/7/2025  a 23/8/2025 </v>
      </c>
      <c r="C1300" s="121"/>
      <c r="D1300" s="121"/>
      <c r="E1300" s="121"/>
      <c r="F1300" s="121"/>
      <c r="G1300" s="121"/>
      <c r="H1300" s="121"/>
      <c r="I1300" s="121"/>
      <c r="J1300" s="121"/>
      <c r="K1300" s="121"/>
      <c r="L1300" s="121"/>
      <c r="M1300" s="121"/>
      <c r="N1300" s="121"/>
      <c r="O1300" s="121"/>
      <c r="P1300" s="121"/>
      <c r="Q1300" s="121"/>
      <c r="R1300" s="121"/>
      <c r="S1300" s="121"/>
      <c r="T1300" s="121"/>
      <c r="U1300" s="121"/>
      <c r="V1300" s="121"/>
      <c r="W1300" s="121"/>
      <c r="X1300" s="121"/>
      <c r="Y1300" s="121"/>
      <c r="Z1300" s="121"/>
      <c r="AA1300" s="121"/>
      <c r="AB1300" s="121"/>
    </row>
    <row r="1301" spans="2:29" ht="13.5" customHeight="1">
      <c r="B1301" s="98" t="str">
        <f>CONCATENATE("- Nr Dias: ",INFO!$C$20)</f>
        <v>- Nr Dias: 33</v>
      </c>
      <c r="C1301" s="121"/>
      <c r="D1301" s="121"/>
      <c r="E1301" s="121"/>
      <c r="F1301" s="121"/>
      <c r="G1301" s="121"/>
      <c r="H1301" s="121"/>
      <c r="I1301" s="121"/>
      <c r="J1301" s="121"/>
      <c r="K1301" s="121"/>
      <c r="L1301" s="121"/>
      <c r="M1301" s="121"/>
      <c r="N1301" s="121"/>
      <c r="O1301" s="121"/>
      <c r="P1301" s="121"/>
      <c r="Q1301" s="121"/>
      <c r="R1301" s="121"/>
      <c r="S1301" s="121"/>
      <c r="T1301" s="121"/>
      <c r="U1301" s="121"/>
      <c r="V1301" s="121"/>
      <c r="W1301" s="121"/>
      <c r="X1301" s="121"/>
      <c r="Y1301" s="121"/>
      <c r="Z1301" s="121"/>
      <c r="AA1301" s="121"/>
      <c r="AB1301" s="121"/>
    </row>
    <row r="1302" spans="2:29" ht="13.5" customHeight="1">
      <c r="B1302" s="98" t="str">
        <f>CONCATENATE("- Valor Estimado: R$ ",INDEX(QSGR!$J$16:$J$11170,AC1295))</f>
        <v xml:space="preserve">- Valor Estimado: R$ </v>
      </c>
      <c r="C1302" s="121"/>
      <c r="D1302" s="121"/>
      <c r="E1302" s="121"/>
      <c r="F1302" s="121"/>
      <c r="G1302" s="121"/>
      <c r="H1302" s="121"/>
      <c r="I1302" s="121"/>
      <c r="J1302" s="121"/>
      <c r="K1302" s="121"/>
      <c r="L1302" s="121"/>
      <c r="M1302" s="121"/>
      <c r="N1302" s="121"/>
      <c r="O1302" s="121"/>
      <c r="P1302" s="121"/>
      <c r="Q1302" s="121"/>
      <c r="R1302" s="121"/>
      <c r="S1302" s="121"/>
      <c r="T1302" s="121"/>
      <c r="U1302" s="121"/>
      <c r="V1302" s="121"/>
      <c r="W1302" s="121"/>
      <c r="X1302" s="121"/>
      <c r="Y1302" s="121"/>
      <c r="Z1302" s="121"/>
      <c r="AA1302" s="121"/>
      <c r="AB1302" s="121"/>
    </row>
    <row r="1303" spans="2:29" ht="13.5" customHeight="1">
      <c r="B1303" s="100"/>
      <c r="C1303" s="121"/>
      <c r="D1303" s="121"/>
      <c r="E1303" s="121"/>
      <c r="F1303" s="121"/>
      <c r="G1303" s="121"/>
      <c r="H1303" s="121"/>
      <c r="I1303" s="121"/>
      <c r="J1303" s="121"/>
      <c r="K1303" s="121"/>
      <c r="L1303" s="121"/>
      <c r="M1303" s="121"/>
      <c r="N1303" s="121"/>
      <c r="O1303" s="121"/>
      <c r="P1303" s="121"/>
      <c r="Q1303" s="121"/>
      <c r="R1303" s="121"/>
      <c r="S1303" s="121"/>
      <c r="T1303" s="121"/>
      <c r="U1303" s="121"/>
      <c r="V1303" s="121"/>
      <c r="W1303" s="121"/>
      <c r="X1303" s="121"/>
      <c r="Y1303" s="121"/>
      <c r="Z1303" s="121"/>
      <c r="AA1303" s="121"/>
      <c r="AB1303" s="121"/>
    </row>
    <row r="1304" spans="2:29" ht="13.5" customHeight="1">
      <c r="B1304" s="98" t="s">
        <v>55</v>
      </c>
      <c r="C1304" s="121"/>
      <c r="D1304" s="121"/>
      <c r="E1304" s="121"/>
      <c r="F1304" s="121"/>
      <c r="G1304" s="121"/>
      <c r="H1304" s="121"/>
      <c r="I1304" s="121"/>
      <c r="J1304" s="121"/>
      <c r="K1304" s="121"/>
      <c r="L1304" s="121"/>
      <c r="M1304" s="121"/>
      <c r="N1304" s="121"/>
      <c r="O1304" s="121"/>
      <c r="P1304" s="121"/>
      <c r="Q1304" s="121"/>
      <c r="R1304" s="121"/>
      <c r="S1304" s="121"/>
      <c r="T1304" s="121"/>
      <c r="U1304" s="121"/>
      <c r="V1304" s="121"/>
      <c r="W1304" s="121"/>
      <c r="X1304" s="121"/>
      <c r="Y1304" s="121"/>
      <c r="Z1304" s="121"/>
      <c r="AA1304" s="121"/>
      <c r="AB1304" s="121"/>
      <c r="AC1304" s="37">
        <f>AC1295+1</f>
        <v>145</v>
      </c>
    </row>
    <row r="1305" spans="2:29" ht="13.5" customHeight="1">
      <c r="B1305" s="99">
        <f>INDEX(QSGR!$B$16:$B$1570,AC1304)</f>
        <v>0</v>
      </c>
      <c r="C1305" s="121"/>
      <c r="D1305" s="121"/>
      <c r="E1305" s="97">
        <f>INDEX(QSGR!$D$16:$D$11170,AC1304)</f>
        <v>0</v>
      </c>
      <c r="F1305" s="121"/>
      <c r="G1305" s="121"/>
      <c r="H1305" s="121"/>
      <c r="I1305" s="121"/>
      <c r="J1305" s="121"/>
      <c r="K1305" s="121"/>
      <c r="L1305" s="121"/>
      <c r="M1305" s="121"/>
      <c r="N1305" s="121"/>
      <c r="O1305" s="121"/>
      <c r="P1305" s="121"/>
      <c r="Q1305" s="121"/>
      <c r="R1305" s="121"/>
      <c r="S1305" s="121"/>
      <c r="T1305" s="121"/>
      <c r="U1305" s="121"/>
      <c r="V1305" s="121"/>
      <c r="W1305" s="121"/>
      <c r="X1305" s="121"/>
      <c r="Y1305" s="121"/>
      <c r="Z1305" s="121"/>
      <c r="AA1305" s="121"/>
      <c r="AB1305" s="121"/>
    </row>
    <row r="1306" spans="2:29" ht="13.5" customHeight="1">
      <c r="B1306" s="96" t="str">
        <f>CONCATENATE("- Evento: ",INFO!$B$22)</f>
        <v>- Evento: PARTICIPAR DA OPERAÇÃO HORUS.</v>
      </c>
      <c r="C1306" s="121"/>
      <c r="D1306" s="121"/>
      <c r="E1306" s="121"/>
      <c r="F1306" s="121"/>
      <c r="G1306" s="121"/>
      <c r="H1306" s="121"/>
      <c r="I1306" s="121"/>
      <c r="J1306" s="121"/>
      <c r="K1306" s="121"/>
      <c r="L1306" s="121"/>
      <c r="M1306" s="121"/>
      <c r="N1306" s="121"/>
      <c r="O1306" s="121"/>
      <c r="P1306" s="121"/>
      <c r="Q1306" s="121"/>
      <c r="R1306" s="121"/>
      <c r="S1306" s="121"/>
      <c r="T1306" s="121"/>
      <c r="U1306" s="121"/>
      <c r="V1306" s="121"/>
      <c r="W1306" s="121"/>
      <c r="X1306" s="121"/>
      <c r="Y1306" s="121"/>
      <c r="Z1306" s="121"/>
      <c r="AA1306" s="121"/>
      <c r="AB1306" s="121"/>
    </row>
    <row r="1307" spans="2:29" ht="13.5" customHeight="1">
      <c r="B1307" s="98" t="str">
        <f>CONCATENATE("- Documento de Solicitação: ",INFO!$B$24)</f>
        <v>- Documento de Solicitação: TESTE AZUL</v>
      </c>
      <c r="C1307" s="121"/>
      <c r="D1307" s="121"/>
      <c r="E1307" s="121"/>
      <c r="F1307" s="121"/>
      <c r="G1307" s="121"/>
      <c r="H1307" s="121"/>
      <c r="I1307" s="121"/>
      <c r="J1307" s="121"/>
      <c r="K1307" s="121"/>
      <c r="L1307" s="121"/>
      <c r="M1307" s="121"/>
      <c r="N1307" s="121"/>
      <c r="O1307" s="121"/>
      <c r="P1307" s="121"/>
      <c r="Q1307" s="121"/>
      <c r="R1307" s="121"/>
      <c r="S1307" s="121"/>
      <c r="T1307" s="121"/>
      <c r="U1307" s="121"/>
      <c r="V1307" s="121"/>
      <c r="W1307" s="121"/>
      <c r="X1307" s="121"/>
      <c r="Y1307" s="121"/>
      <c r="Z1307" s="121"/>
      <c r="AA1307" s="121"/>
      <c r="AB1307" s="121"/>
    </row>
    <row r="1308" spans="2:29" ht="13.5" customHeight="1">
      <c r="B1308" s="98" t="str">
        <f>CONCATENATE("- Local: ",INFO!$C$18)</f>
        <v>- Local: GUAIRA - PR</v>
      </c>
      <c r="C1308" s="121"/>
      <c r="D1308" s="121"/>
      <c r="E1308" s="121"/>
      <c r="F1308" s="121"/>
      <c r="G1308" s="121"/>
      <c r="H1308" s="121"/>
      <c r="I1308" s="121"/>
      <c r="J1308" s="121"/>
      <c r="K1308" s="121"/>
      <c r="L1308" s="121"/>
      <c r="M1308" s="121"/>
      <c r="N1308" s="121"/>
      <c r="O1308" s="121"/>
      <c r="P1308" s="121"/>
      <c r="Q1308" s="121"/>
      <c r="R1308" s="121"/>
      <c r="S1308" s="121"/>
      <c r="T1308" s="121"/>
      <c r="U1308" s="121"/>
      <c r="V1308" s="121"/>
      <c r="W1308" s="121"/>
      <c r="X1308" s="121"/>
      <c r="Y1308" s="121"/>
      <c r="Z1308" s="121"/>
      <c r="AA1308" s="121"/>
      <c r="AB1308" s="121"/>
    </row>
    <row r="1309" spans="2:29" ht="13.5" customHeight="1">
      <c r="B1309" s="98" t="str">
        <f>CONCATENATE("- Periodo: ",INFO!$C$10," a ",INFO!$C$19)</f>
        <v xml:space="preserve">- Periodo: 22/7/2025  a 23/8/2025 </v>
      </c>
      <c r="C1309" s="121"/>
      <c r="D1309" s="121"/>
      <c r="E1309" s="121"/>
      <c r="F1309" s="121"/>
      <c r="G1309" s="121"/>
      <c r="H1309" s="121"/>
      <c r="I1309" s="121"/>
      <c r="J1309" s="121"/>
      <c r="K1309" s="121"/>
      <c r="L1309" s="121"/>
      <c r="M1309" s="121"/>
      <c r="N1309" s="121"/>
      <c r="O1309" s="121"/>
      <c r="P1309" s="121"/>
      <c r="Q1309" s="121"/>
      <c r="R1309" s="121"/>
      <c r="S1309" s="121"/>
      <c r="T1309" s="121"/>
      <c r="U1309" s="121"/>
      <c r="V1309" s="121"/>
      <c r="W1309" s="121"/>
      <c r="X1309" s="121"/>
      <c r="Y1309" s="121"/>
      <c r="Z1309" s="121"/>
      <c r="AA1309" s="121"/>
      <c r="AB1309" s="121"/>
    </row>
    <row r="1310" spans="2:29" ht="13.5" customHeight="1">
      <c r="B1310" s="98" t="str">
        <f>CONCATENATE("- Nr Dias: ",INFO!$C$20)</f>
        <v>- Nr Dias: 33</v>
      </c>
      <c r="C1310" s="121"/>
      <c r="D1310" s="121"/>
      <c r="E1310" s="121"/>
      <c r="F1310" s="121"/>
      <c r="G1310" s="121"/>
      <c r="H1310" s="121"/>
      <c r="I1310" s="121"/>
      <c r="J1310" s="121"/>
      <c r="K1310" s="121"/>
      <c r="L1310" s="121"/>
      <c r="M1310" s="121"/>
      <c r="N1310" s="121"/>
      <c r="O1310" s="121"/>
      <c r="P1310" s="121"/>
      <c r="Q1310" s="121"/>
      <c r="R1310" s="121"/>
      <c r="S1310" s="121"/>
      <c r="T1310" s="121"/>
      <c r="U1310" s="121"/>
      <c r="V1310" s="121"/>
      <c r="W1310" s="121"/>
      <c r="X1310" s="121"/>
      <c r="Y1310" s="121"/>
      <c r="Z1310" s="121"/>
      <c r="AA1310" s="121"/>
      <c r="AB1310" s="121"/>
    </row>
    <row r="1311" spans="2:29" ht="13.5" customHeight="1">
      <c r="B1311" s="98" t="str">
        <f>CONCATENATE("- Valor Estimado: R$ ",INDEX(QSGR!$J$16:$J$11170,AC1304))</f>
        <v xml:space="preserve">- Valor Estimado: R$ </v>
      </c>
      <c r="C1311" s="121"/>
      <c r="D1311" s="121"/>
      <c r="E1311" s="121"/>
      <c r="F1311" s="121"/>
      <c r="G1311" s="121"/>
      <c r="H1311" s="121"/>
      <c r="I1311" s="121"/>
      <c r="J1311" s="121"/>
      <c r="K1311" s="121"/>
      <c r="L1311" s="121"/>
      <c r="M1311" s="121"/>
      <c r="N1311" s="121"/>
      <c r="O1311" s="121"/>
      <c r="P1311" s="121"/>
      <c r="Q1311" s="121"/>
      <c r="R1311" s="121"/>
      <c r="S1311" s="121"/>
      <c r="T1311" s="121"/>
      <c r="U1311" s="121"/>
      <c r="V1311" s="121"/>
      <c r="W1311" s="121"/>
      <c r="X1311" s="121"/>
      <c r="Y1311" s="121"/>
      <c r="Z1311" s="121"/>
      <c r="AA1311" s="121"/>
      <c r="AB1311" s="121"/>
    </row>
    <row r="1312" spans="2:29" ht="13.5" customHeight="1">
      <c r="B1312" s="100"/>
      <c r="C1312" s="121"/>
      <c r="D1312" s="121"/>
      <c r="E1312" s="121"/>
      <c r="F1312" s="121"/>
      <c r="G1312" s="121"/>
      <c r="H1312" s="121"/>
      <c r="I1312" s="121"/>
      <c r="J1312" s="121"/>
      <c r="K1312" s="121"/>
      <c r="L1312" s="121"/>
      <c r="M1312" s="121"/>
      <c r="N1312" s="121"/>
      <c r="O1312" s="121"/>
      <c r="P1312" s="121"/>
      <c r="Q1312" s="121"/>
      <c r="R1312" s="121"/>
      <c r="S1312" s="121"/>
      <c r="T1312" s="121"/>
      <c r="U1312" s="121"/>
      <c r="V1312" s="121"/>
      <c r="W1312" s="121"/>
      <c r="X1312" s="121"/>
      <c r="Y1312" s="121"/>
      <c r="Z1312" s="121"/>
      <c r="AA1312" s="121"/>
      <c r="AB1312" s="121"/>
    </row>
    <row r="1313" spans="2:29" ht="13.5" customHeight="1">
      <c r="B1313" s="98" t="s">
        <v>55</v>
      </c>
      <c r="C1313" s="121"/>
      <c r="D1313" s="121"/>
      <c r="E1313" s="121"/>
      <c r="F1313" s="121"/>
      <c r="G1313" s="121"/>
      <c r="H1313" s="121"/>
      <c r="I1313" s="121"/>
      <c r="J1313" s="121"/>
      <c r="K1313" s="121"/>
      <c r="L1313" s="121"/>
      <c r="M1313" s="121"/>
      <c r="N1313" s="121"/>
      <c r="O1313" s="121"/>
      <c r="P1313" s="121"/>
      <c r="Q1313" s="121"/>
      <c r="R1313" s="121"/>
      <c r="S1313" s="121"/>
      <c r="T1313" s="121"/>
      <c r="U1313" s="121"/>
      <c r="V1313" s="121"/>
      <c r="W1313" s="121"/>
      <c r="X1313" s="121"/>
      <c r="Y1313" s="121"/>
      <c r="Z1313" s="121"/>
      <c r="AA1313" s="121"/>
      <c r="AB1313" s="121"/>
      <c r="AC1313" s="37">
        <f>AC1304+1</f>
        <v>146</v>
      </c>
    </row>
    <row r="1314" spans="2:29" ht="13.5" customHeight="1">
      <c r="B1314" s="99">
        <f>INDEX(QSGR!$B$16:$B$1570,AC1313)</f>
        <v>0</v>
      </c>
      <c r="C1314" s="121"/>
      <c r="D1314" s="121"/>
      <c r="E1314" s="97">
        <f>INDEX(QSGR!$D$16:$D$11170,AC1313)</f>
        <v>0</v>
      </c>
      <c r="F1314" s="121"/>
      <c r="G1314" s="121"/>
      <c r="H1314" s="121"/>
      <c r="I1314" s="121"/>
      <c r="J1314" s="121"/>
      <c r="K1314" s="121"/>
      <c r="L1314" s="121"/>
      <c r="M1314" s="121"/>
      <c r="N1314" s="121"/>
      <c r="O1314" s="121"/>
      <c r="P1314" s="121"/>
      <c r="Q1314" s="121"/>
      <c r="R1314" s="121"/>
      <c r="S1314" s="121"/>
      <c r="T1314" s="121"/>
      <c r="U1314" s="121"/>
      <c r="V1314" s="121"/>
      <c r="W1314" s="121"/>
      <c r="X1314" s="121"/>
      <c r="Y1314" s="121"/>
      <c r="Z1314" s="121"/>
      <c r="AA1314" s="121"/>
      <c r="AB1314" s="121"/>
    </row>
    <row r="1315" spans="2:29" ht="13.5" customHeight="1">
      <c r="B1315" s="96" t="str">
        <f>CONCATENATE("- Evento: ",INFO!$B$22)</f>
        <v>- Evento: PARTICIPAR DA OPERAÇÃO HORUS.</v>
      </c>
      <c r="C1315" s="121"/>
      <c r="D1315" s="121"/>
      <c r="E1315" s="121"/>
      <c r="F1315" s="121"/>
      <c r="G1315" s="121"/>
      <c r="H1315" s="121"/>
      <c r="I1315" s="121"/>
      <c r="J1315" s="121"/>
      <c r="K1315" s="121"/>
      <c r="L1315" s="121"/>
      <c r="M1315" s="121"/>
      <c r="N1315" s="121"/>
      <c r="O1315" s="121"/>
      <c r="P1315" s="121"/>
      <c r="Q1315" s="121"/>
      <c r="R1315" s="121"/>
      <c r="S1315" s="121"/>
      <c r="T1315" s="121"/>
      <c r="U1315" s="121"/>
      <c r="V1315" s="121"/>
      <c r="W1315" s="121"/>
      <c r="X1315" s="121"/>
      <c r="Y1315" s="121"/>
      <c r="Z1315" s="121"/>
      <c r="AA1315" s="121"/>
      <c r="AB1315" s="121"/>
    </row>
    <row r="1316" spans="2:29" ht="13.5" customHeight="1">
      <c r="B1316" s="98" t="str">
        <f>CONCATENATE("- Documento de Solicitação: ",INFO!$B$24)</f>
        <v>- Documento de Solicitação: TESTE AZUL</v>
      </c>
      <c r="C1316" s="121"/>
      <c r="D1316" s="121"/>
      <c r="E1316" s="121"/>
      <c r="F1316" s="121"/>
      <c r="G1316" s="121"/>
      <c r="H1316" s="121"/>
      <c r="I1316" s="121"/>
      <c r="J1316" s="121"/>
      <c r="K1316" s="121"/>
      <c r="L1316" s="121"/>
      <c r="M1316" s="121"/>
      <c r="N1316" s="121"/>
      <c r="O1316" s="121"/>
      <c r="P1316" s="121"/>
      <c r="Q1316" s="121"/>
      <c r="R1316" s="121"/>
      <c r="S1316" s="121"/>
      <c r="T1316" s="121"/>
      <c r="U1316" s="121"/>
      <c r="V1316" s="121"/>
      <c r="W1316" s="121"/>
      <c r="X1316" s="121"/>
      <c r="Y1316" s="121"/>
      <c r="Z1316" s="121"/>
      <c r="AA1316" s="121"/>
      <c r="AB1316" s="121"/>
    </row>
    <row r="1317" spans="2:29" ht="13.5" customHeight="1">
      <c r="B1317" s="98" t="str">
        <f>CONCATENATE("- Local: ",INFO!$C$18)</f>
        <v>- Local: GUAIRA - PR</v>
      </c>
      <c r="C1317" s="121"/>
      <c r="D1317" s="121"/>
      <c r="E1317" s="121"/>
      <c r="F1317" s="121"/>
      <c r="G1317" s="121"/>
      <c r="H1317" s="121"/>
      <c r="I1317" s="121"/>
      <c r="J1317" s="121"/>
      <c r="K1317" s="121"/>
      <c r="L1317" s="121"/>
      <c r="M1317" s="121"/>
      <c r="N1317" s="121"/>
      <c r="O1317" s="121"/>
      <c r="P1317" s="121"/>
      <c r="Q1317" s="121"/>
      <c r="R1317" s="121"/>
      <c r="S1317" s="121"/>
      <c r="T1317" s="121"/>
      <c r="U1317" s="121"/>
      <c r="V1317" s="121"/>
      <c r="W1317" s="121"/>
      <c r="X1317" s="121"/>
      <c r="Y1317" s="121"/>
      <c r="Z1317" s="121"/>
      <c r="AA1317" s="121"/>
      <c r="AB1317" s="121"/>
    </row>
    <row r="1318" spans="2:29" ht="13.5" customHeight="1">
      <c r="B1318" s="98" t="str">
        <f>CONCATENATE("- Periodo: ",INFO!$C$10," a ",INFO!$C$19)</f>
        <v xml:space="preserve">- Periodo: 22/7/2025  a 23/8/2025 </v>
      </c>
      <c r="C1318" s="121"/>
      <c r="D1318" s="121"/>
      <c r="E1318" s="121"/>
      <c r="F1318" s="121"/>
      <c r="G1318" s="121"/>
      <c r="H1318" s="121"/>
      <c r="I1318" s="121"/>
      <c r="J1318" s="121"/>
      <c r="K1318" s="121"/>
      <c r="L1318" s="121"/>
      <c r="M1318" s="121"/>
      <c r="N1318" s="121"/>
      <c r="O1318" s="121"/>
      <c r="P1318" s="121"/>
      <c r="Q1318" s="121"/>
      <c r="R1318" s="121"/>
      <c r="S1318" s="121"/>
      <c r="T1318" s="121"/>
      <c r="U1318" s="121"/>
      <c r="V1318" s="121"/>
      <c r="W1318" s="121"/>
      <c r="X1318" s="121"/>
      <c r="Y1318" s="121"/>
      <c r="Z1318" s="121"/>
      <c r="AA1318" s="121"/>
      <c r="AB1318" s="121"/>
    </row>
    <row r="1319" spans="2:29" ht="13.5" customHeight="1">
      <c r="B1319" s="98" t="str">
        <f>CONCATENATE("- Nr Dias: ",INFO!$C$20)</f>
        <v>- Nr Dias: 33</v>
      </c>
      <c r="C1319" s="121"/>
      <c r="D1319" s="121"/>
      <c r="E1319" s="121"/>
      <c r="F1319" s="121"/>
      <c r="G1319" s="121"/>
      <c r="H1319" s="121"/>
      <c r="I1319" s="121"/>
      <c r="J1319" s="121"/>
      <c r="K1319" s="121"/>
      <c r="L1319" s="121"/>
      <c r="M1319" s="121"/>
      <c r="N1319" s="121"/>
      <c r="O1319" s="121"/>
      <c r="P1319" s="121"/>
      <c r="Q1319" s="121"/>
      <c r="R1319" s="121"/>
      <c r="S1319" s="121"/>
      <c r="T1319" s="121"/>
      <c r="U1319" s="121"/>
      <c r="V1319" s="121"/>
      <c r="W1319" s="121"/>
      <c r="X1319" s="121"/>
      <c r="Y1319" s="121"/>
      <c r="Z1319" s="121"/>
      <c r="AA1319" s="121"/>
      <c r="AB1319" s="121"/>
    </row>
    <row r="1320" spans="2:29" ht="13.5" customHeight="1">
      <c r="B1320" s="98" t="str">
        <f>CONCATENATE("- Valor Estimado: R$ ",INDEX(QSGR!$J$16:$J$11170,AC1313))</f>
        <v xml:space="preserve">- Valor Estimado: R$ </v>
      </c>
      <c r="C1320" s="121"/>
      <c r="D1320" s="121"/>
      <c r="E1320" s="121"/>
      <c r="F1320" s="121"/>
      <c r="G1320" s="121"/>
      <c r="H1320" s="121"/>
      <c r="I1320" s="121"/>
      <c r="J1320" s="121"/>
      <c r="K1320" s="121"/>
      <c r="L1320" s="121"/>
      <c r="M1320" s="121"/>
      <c r="N1320" s="121"/>
      <c r="O1320" s="121"/>
      <c r="P1320" s="121"/>
      <c r="Q1320" s="121"/>
      <c r="R1320" s="121"/>
      <c r="S1320" s="121"/>
      <c r="T1320" s="121"/>
      <c r="U1320" s="121"/>
      <c r="V1320" s="121"/>
      <c r="W1320" s="121"/>
      <c r="X1320" s="121"/>
      <c r="Y1320" s="121"/>
      <c r="Z1320" s="121"/>
      <c r="AA1320" s="121"/>
      <c r="AB1320" s="121"/>
    </row>
    <row r="1321" spans="2:29" ht="13.5" customHeight="1">
      <c r="B1321" s="100"/>
      <c r="C1321" s="121"/>
      <c r="D1321" s="121"/>
      <c r="E1321" s="121"/>
      <c r="F1321" s="121"/>
      <c r="G1321" s="121"/>
      <c r="H1321" s="121"/>
      <c r="I1321" s="121"/>
      <c r="J1321" s="121"/>
      <c r="K1321" s="121"/>
      <c r="L1321" s="121"/>
      <c r="M1321" s="121"/>
      <c r="N1321" s="121"/>
      <c r="O1321" s="121"/>
      <c r="P1321" s="121"/>
      <c r="Q1321" s="121"/>
      <c r="R1321" s="121"/>
      <c r="S1321" s="121"/>
      <c r="T1321" s="121"/>
      <c r="U1321" s="121"/>
      <c r="V1321" s="121"/>
      <c r="W1321" s="121"/>
      <c r="X1321" s="121"/>
      <c r="Y1321" s="121"/>
      <c r="Z1321" s="121"/>
      <c r="AA1321" s="121"/>
      <c r="AB1321" s="121"/>
    </row>
    <row r="1322" spans="2:29" ht="13.5" customHeight="1">
      <c r="B1322" s="98" t="s">
        <v>55</v>
      </c>
      <c r="C1322" s="121"/>
      <c r="D1322" s="121"/>
      <c r="E1322" s="121"/>
      <c r="F1322" s="121"/>
      <c r="G1322" s="121"/>
      <c r="H1322" s="121"/>
      <c r="I1322" s="121"/>
      <c r="J1322" s="121"/>
      <c r="K1322" s="121"/>
      <c r="L1322" s="121"/>
      <c r="M1322" s="121"/>
      <c r="N1322" s="121"/>
      <c r="O1322" s="121"/>
      <c r="P1322" s="121"/>
      <c r="Q1322" s="121"/>
      <c r="R1322" s="121"/>
      <c r="S1322" s="121"/>
      <c r="T1322" s="121"/>
      <c r="U1322" s="121"/>
      <c r="V1322" s="121"/>
      <c r="W1322" s="121"/>
      <c r="X1322" s="121"/>
      <c r="Y1322" s="121"/>
      <c r="Z1322" s="121"/>
      <c r="AA1322" s="121"/>
      <c r="AB1322" s="121"/>
      <c r="AC1322" s="37">
        <f>AC1313+1</f>
        <v>147</v>
      </c>
    </row>
    <row r="1323" spans="2:29" ht="13.5" customHeight="1">
      <c r="B1323" s="99">
        <f>INDEX(QSGR!$B$16:$B$1570,AC1322)</f>
        <v>0</v>
      </c>
      <c r="C1323" s="121"/>
      <c r="D1323" s="121"/>
      <c r="E1323" s="97">
        <f>INDEX(QSGR!$D$16:$D$11170,AC1322)</f>
        <v>0</v>
      </c>
      <c r="F1323" s="121"/>
      <c r="G1323" s="121"/>
      <c r="H1323" s="121"/>
      <c r="I1323" s="121"/>
      <c r="J1323" s="121"/>
      <c r="K1323" s="121"/>
      <c r="L1323" s="121"/>
      <c r="M1323" s="121"/>
      <c r="N1323" s="121"/>
      <c r="O1323" s="121"/>
      <c r="P1323" s="121"/>
      <c r="Q1323" s="121"/>
      <c r="R1323" s="121"/>
      <c r="S1323" s="121"/>
      <c r="T1323" s="121"/>
      <c r="U1323" s="121"/>
      <c r="V1323" s="121"/>
      <c r="W1323" s="121"/>
      <c r="X1323" s="121"/>
      <c r="Y1323" s="121"/>
      <c r="Z1323" s="121"/>
      <c r="AA1323" s="121"/>
      <c r="AB1323" s="121"/>
    </row>
    <row r="1324" spans="2:29" ht="13.5" customHeight="1">
      <c r="B1324" s="96" t="str">
        <f>CONCATENATE("- Evento: ",INFO!$B$22)</f>
        <v>- Evento: PARTICIPAR DA OPERAÇÃO HORUS.</v>
      </c>
      <c r="C1324" s="121"/>
      <c r="D1324" s="121"/>
      <c r="E1324" s="121"/>
      <c r="F1324" s="121"/>
      <c r="G1324" s="121"/>
      <c r="H1324" s="121"/>
      <c r="I1324" s="121"/>
      <c r="J1324" s="121"/>
      <c r="K1324" s="121"/>
      <c r="L1324" s="121"/>
      <c r="M1324" s="121"/>
      <c r="N1324" s="121"/>
      <c r="O1324" s="121"/>
      <c r="P1324" s="121"/>
      <c r="Q1324" s="121"/>
      <c r="R1324" s="121"/>
      <c r="S1324" s="121"/>
      <c r="T1324" s="121"/>
      <c r="U1324" s="121"/>
      <c r="V1324" s="121"/>
      <c r="W1324" s="121"/>
      <c r="X1324" s="121"/>
      <c r="Y1324" s="121"/>
      <c r="Z1324" s="121"/>
      <c r="AA1324" s="121"/>
      <c r="AB1324" s="121"/>
    </row>
    <row r="1325" spans="2:29" ht="13.5" customHeight="1">
      <c r="B1325" s="98" t="str">
        <f>CONCATENATE("- Documento de Solicitação: ",INFO!$B$24)</f>
        <v>- Documento de Solicitação: TESTE AZUL</v>
      </c>
      <c r="C1325" s="121"/>
      <c r="D1325" s="121"/>
      <c r="E1325" s="121"/>
      <c r="F1325" s="121"/>
      <c r="G1325" s="121"/>
      <c r="H1325" s="121"/>
      <c r="I1325" s="121"/>
      <c r="J1325" s="121"/>
      <c r="K1325" s="121"/>
      <c r="L1325" s="121"/>
      <c r="M1325" s="121"/>
      <c r="N1325" s="121"/>
      <c r="O1325" s="121"/>
      <c r="P1325" s="121"/>
      <c r="Q1325" s="121"/>
      <c r="R1325" s="121"/>
      <c r="S1325" s="121"/>
      <c r="T1325" s="121"/>
      <c r="U1325" s="121"/>
      <c r="V1325" s="121"/>
      <c r="W1325" s="121"/>
      <c r="X1325" s="121"/>
      <c r="Y1325" s="121"/>
      <c r="Z1325" s="121"/>
      <c r="AA1325" s="121"/>
      <c r="AB1325" s="121"/>
    </row>
    <row r="1326" spans="2:29" ht="13.5" customHeight="1">
      <c r="B1326" s="98" t="str">
        <f>CONCATENATE("- Local: ",INFO!$C$18)</f>
        <v>- Local: GUAIRA - PR</v>
      </c>
      <c r="C1326" s="121"/>
      <c r="D1326" s="121"/>
      <c r="E1326" s="121"/>
      <c r="F1326" s="121"/>
      <c r="G1326" s="121"/>
      <c r="H1326" s="121"/>
      <c r="I1326" s="121"/>
      <c r="J1326" s="121"/>
      <c r="K1326" s="121"/>
      <c r="L1326" s="121"/>
      <c r="M1326" s="121"/>
      <c r="N1326" s="121"/>
      <c r="O1326" s="121"/>
      <c r="P1326" s="121"/>
      <c r="Q1326" s="121"/>
      <c r="R1326" s="121"/>
      <c r="S1326" s="121"/>
      <c r="T1326" s="121"/>
      <c r="U1326" s="121"/>
      <c r="V1326" s="121"/>
      <c r="W1326" s="121"/>
      <c r="X1326" s="121"/>
      <c r="Y1326" s="121"/>
      <c r="Z1326" s="121"/>
      <c r="AA1326" s="121"/>
      <c r="AB1326" s="121"/>
    </row>
    <row r="1327" spans="2:29" ht="13.5" customHeight="1">
      <c r="B1327" s="98" t="str">
        <f>CONCATENATE("- Periodo: ",INFO!$C$10," a ",INFO!$C$19)</f>
        <v xml:space="preserve">- Periodo: 22/7/2025  a 23/8/2025 </v>
      </c>
      <c r="C1327" s="121"/>
      <c r="D1327" s="121"/>
      <c r="E1327" s="121"/>
      <c r="F1327" s="121"/>
      <c r="G1327" s="121"/>
      <c r="H1327" s="121"/>
      <c r="I1327" s="121"/>
      <c r="J1327" s="121"/>
      <c r="K1327" s="121"/>
      <c r="L1327" s="121"/>
      <c r="M1327" s="121"/>
      <c r="N1327" s="121"/>
      <c r="O1327" s="121"/>
      <c r="P1327" s="121"/>
      <c r="Q1327" s="121"/>
      <c r="R1327" s="121"/>
      <c r="S1327" s="121"/>
      <c r="T1327" s="121"/>
      <c r="U1327" s="121"/>
      <c r="V1327" s="121"/>
      <c r="W1327" s="121"/>
      <c r="X1327" s="121"/>
      <c r="Y1327" s="121"/>
      <c r="Z1327" s="121"/>
      <c r="AA1327" s="121"/>
      <c r="AB1327" s="121"/>
    </row>
    <row r="1328" spans="2:29" ht="13.5" customHeight="1">
      <c r="B1328" s="98" t="str">
        <f>CONCATENATE("- Nr Dias: ",INFO!$C$20)</f>
        <v>- Nr Dias: 33</v>
      </c>
      <c r="C1328" s="121"/>
      <c r="D1328" s="121"/>
      <c r="E1328" s="121"/>
      <c r="F1328" s="121"/>
      <c r="G1328" s="121"/>
      <c r="H1328" s="121"/>
      <c r="I1328" s="121"/>
      <c r="J1328" s="121"/>
      <c r="K1328" s="121"/>
      <c r="L1328" s="121"/>
      <c r="M1328" s="121"/>
      <c r="N1328" s="121"/>
      <c r="O1328" s="121"/>
      <c r="P1328" s="121"/>
      <c r="Q1328" s="121"/>
      <c r="R1328" s="121"/>
      <c r="S1328" s="121"/>
      <c r="T1328" s="121"/>
      <c r="U1328" s="121"/>
      <c r="V1328" s="121"/>
      <c r="W1328" s="121"/>
      <c r="X1328" s="121"/>
      <c r="Y1328" s="121"/>
      <c r="Z1328" s="121"/>
      <c r="AA1328" s="121"/>
      <c r="AB1328" s="121"/>
    </row>
    <row r="1329" spans="2:29" ht="13.5" customHeight="1">
      <c r="B1329" s="98" t="str">
        <f>CONCATENATE("- Valor Estimado: R$ ",INDEX(QSGR!$J$16:$J$11170,AC1322))</f>
        <v xml:space="preserve">- Valor Estimado: R$ </v>
      </c>
      <c r="C1329" s="121"/>
      <c r="D1329" s="121"/>
      <c r="E1329" s="121"/>
      <c r="F1329" s="121"/>
      <c r="G1329" s="121"/>
      <c r="H1329" s="121"/>
      <c r="I1329" s="121"/>
      <c r="J1329" s="121"/>
      <c r="K1329" s="121"/>
      <c r="L1329" s="121"/>
      <c r="M1329" s="121"/>
      <c r="N1329" s="121"/>
      <c r="O1329" s="121"/>
      <c r="P1329" s="121"/>
      <c r="Q1329" s="121"/>
      <c r="R1329" s="121"/>
      <c r="S1329" s="121"/>
      <c r="T1329" s="121"/>
      <c r="U1329" s="121"/>
      <c r="V1329" s="121"/>
      <c r="W1329" s="121"/>
      <c r="X1329" s="121"/>
      <c r="Y1329" s="121"/>
      <c r="Z1329" s="121"/>
      <c r="AA1329" s="121"/>
      <c r="AB1329" s="121"/>
    </row>
    <row r="1330" spans="2:29" ht="13.5" customHeight="1">
      <c r="B1330" s="100"/>
      <c r="C1330" s="121"/>
      <c r="D1330" s="121"/>
      <c r="E1330" s="121"/>
      <c r="F1330" s="121"/>
      <c r="G1330" s="121"/>
      <c r="H1330" s="121"/>
      <c r="I1330" s="121"/>
      <c r="J1330" s="121"/>
      <c r="K1330" s="121"/>
      <c r="L1330" s="121"/>
      <c r="M1330" s="121"/>
      <c r="N1330" s="121"/>
      <c r="O1330" s="121"/>
      <c r="P1330" s="121"/>
      <c r="Q1330" s="121"/>
      <c r="R1330" s="121"/>
      <c r="S1330" s="121"/>
      <c r="T1330" s="121"/>
      <c r="U1330" s="121"/>
      <c r="V1330" s="121"/>
      <c r="W1330" s="121"/>
      <c r="X1330" s="121"/>
      <c r="Y1330" s="121"/>
      <c r="Z1330" s="121"/>
      <c r="AA1330" s="121"/>
      <c r="AB1330" s="121"/>
    </row>
    <row r="1331" spans="2:29" ht="13.5" customHeight="1">
      <c r="B1331" s="98" t="s">
        <v>55</v>
      </c>
      <c r="C1331" s="121"/>
      <c r="D1331" s="121"/>
      <c r="E1331" s="121"/>
      <c r="F1331" s="121"/>
      <c r="G1331" s="121"/>
      <c r="H1331" s="121"/>
      <c r="I1331" s="121"/>
      <c r="J1331" s="121"/>
      <c r="K1331" s="121"/>
      <c r="L1331" s="121"/>
      <c r="M1331" s="121"/>
      <c r="N1331" s="121"/>
      <c r="O1331" s="121"/>
      <c r="P1331" s="121"/>
      <c r="Q1331" s="121"/>
      <c r="R1331" s="121"/>
      <c r="S1331" s="121"/>
      <c r="T1331" s="121"/>
      <c r="U1331" s="121"/>
      <c r="V1331" s="121"/>
      <c r="W1331" s="121"/>
      <c r="X1331" s="121"/>
      <c r="Y1331" s="121"/>
      <c r="Z1331" s="121"/>
      <c r="AA1331" s="121"/>
      <c r="AB1331" s="121"/>
      <c r="AC1331" s="37">
        <f>AC1322+1</f>
        <v>148</v>
      </c>
    </row>
    <row r="1332" spans="2:29" ht="13.5" customHeight="1">
      <c r="B1332" s="99">
        <f>INDEX(QSGR!$B$16:$B$1570,AC1331)</f>
        <v>0</v>
      </c>
      <c r="C1332" s="121"/>
      <c r="D1332" s="121"/>
      <c r="E1332" s="97">
        <f>INDEX(QSGR!$D$16:$D$11170,AC1331)</f>
        <v>0</v>
      </c>
      <c r="F1332" s="121"/>
      <c r="G1332" s="121"/>
      <c r="H1332" s="121"/>
      <c r="I1332" s="121"/>
      <c r="J1332" s="121"/>
      <c r="K1332" s="121"/>
      <c r="L1332" s="121"/>
      <c r="M1332" s="121"/>
      <c r="N1332" s="121"/>
      <c r="O1332" s="121"/>
      <c r="P1332" s="121"/>
      <c r="Q1332" s="121"/>
      <c r="R1332" s="121"/>
      <c r="S1332" s="121"/>
      <c r="T1332" s="121"/>
      <c r="U1332" s="121"/>
      <c r="V1332" s="121"/>
      <c r="W1332" s="121"/>
      <c r="X1332" s="121"/>
      <c r="Y1332" s="121"/>
      <c r="Z1332" s="121"/>
      <c r="AA1332" s="121"/>
      <c r="AB1332" s="121"/>
    </row>
    <row r="1333" spans="2:29" ht="13.5" customHeight="1">
      <c r="B1333" s="96" t="str">
        <f>CONCATENATE("- Evento: ",INFO!$B$22)</f>
        <v>- Evento: PARTICIPAR DA OPERAÇÃO HORUS.</v>
      </c>
      <c r="C1333" s="121"/>
      <c r="D1333" s="121"/>
      <c r="E1333" s="121"/>
      <c r="F1333" s="121"/>
      <c r="G1333" s="121"/>
      <c r="H1333" s="121"/>
      <c r="I1333" s="121"/>
      <c r="J1333" s="121"/>
      <c r="K1333" s="121"/>
      <c r="L1333" s="121"/>
      <c r="M1333" s="121"/>
      <c r="N1333" s="121"/>
      <c r="O1333" s="121"/>
      <c r="P1333" s="121"/>
      <c r="Q1333" s="121"/>
      <c r="R1333" s="121"/>
      <c r="S1333" s="121"/>
      <c r="T1333" s="121"/>
      <c r="U1333" s="121"/>
      <c r="V1333" s="121"/>
      <c r="W1333" s="121"/>
      <c r="X1333" s="121"/>
      <c r="Y1333" s="121"/>
      <c r="Z1333" s="121"/>
      <c r="AA1333" s="121"/>
      <c r="AB1333" s="121"/>
    </row>
    <row r="1334" spans="2:29" ht="13.5" customHeight="1">
      <c r="B1334" s="98" t="str">
        <f>CONCATENATE("- Documento de Solicitação: ",INFO!$B$24)</f>
        <v>- Documento de Solicitação: TESTE AZUL</v>
      </c>
      <c r="C1334" s="121"/>
      <c r="D1334" s="121"/>
      <c r="E1334" s="121"/>
      <c r="F1334" s="121"/>
      <c r="G1334" s="121"/>
      <c r="H1334" s="121"/>
      <c r="I1334" s="121"/>
      <c r="J1334" s="121"/>
      <c r="K1334" s="121"/>
      <c r="L1334" s="121"/>
      <c r="M1334" s="121"/>
      <c r="N1334" s="121"/>
      <c r="O1334" s="121"/>
      <c r="P1334" s="121"/>
      <c r="Q1334" s="121"/>
      <c r="R1334" s="121"/>
      <c r="S1334" s="121"/>
      <c r="T1334" s="121"/>
      <c r="U1334" s="121"/>
      <c r="V1334" s="121"/>
      <c r="W1334" s="121"/>
      <c r="X1334" s="121"/>
      <c r="Y1334" s="121"/>
      <c r="Z1334" s="121"/>
      <c r="AA1334" s="121"/>
      <c r="AB1334" s="121"/>
    </row>
    <row r="1335" spans="2:29" ht="13.5" customHeight="1">
      <c r="B1335" s="98" t="str">
        <f>CONCATENATE("- Local: ",INFO!$C$18)</f>
        <v>- Local: GUAIRA - PR</v>
      </c>
      <c r="C1335" s="121"/>
      <c r="D1335" s="121"/>
      <c r="E1335" s="121"/>
      <c r="F1335" s="121"/>
      <c r="G1335" s="121"/>
      <c r="H1335" s="121"/>
      <c r="I1335" s="121"/>
      <c r="J1335" s="121"/>
      <c r="K1335" s="121"/>
      <c r="L1335" s="121"/>
      <c r="M1335" s="121"/>
      <c r="N1335" s="121"/>
      <c r="O1335" s="121"/>
      <c r="P1335" s="121"/>
      <c r="Q1335" s="121"/>
      <c r="R1335" s="121"/>
      <c r="S1335" s="121"/>
      <c r="T1335" s="121"/>
      <c r="U1335" s="121"/>
      <c r="V1335" s="121"/>
      <c r="W1335" s="121"/>
      <c r="X1335" s="121"/>
      <c r="Y1335" s="121"/>
      <c r="Z1335" s="121"/>
      <c r="AA1335" s="121"/>
      <c r="AB1335" s="121"/>
    </row>
    <row r="1336" spans="2:29" ht="13.5" customHeight="1">
      <c r="B1336" s="98" t="str">
        <f>CONCATENATE("- Periodo: ",INFO!$C$10," a ",INFO!$C$19)</f>
        <v xml:space="preserve">- Periodo: 22/7/2025  a 23/8/2025 </v>
      </c>
      <c r="C1336" s="121"/>
      <c r="D1336" s="121"/>
      <c r="E1336" s="121"/>
      <c r="F1336" s="121"/>
      <c r="G1336" s="121"/>
      <c r="H1336" s="121"/>
      <c r="I1336" s="121"/>
      <c r="J1336" s="121"/>
      <c r="K1336" s="121"/>
      <c r="L1336" s="121"/>
      <c r="M1336" s="121"/>
      <c r="N1336" s="121"/>
      <c r="O1336" s="121"/>
      <c r="P1336" s="121"/>
      <c r="Q1336" s="121"/>
      <c r="R1336" s="121"/>
      <c r="S1336" s="121"/>
      <c r="T1336" s="121"/>
      <c r="U1336" s="121"/>
      <c r="V1336" s="121"/>
      <c r="W1336" s="121"/>
      <c r="X1336" s="121"/>
      <c r="Y1336" s="121"/>
      <c r="Z1336" s="121"/>
      <c r="AA1336" s="121"/>
      <c r="AB1336" s="121"/>
    </row>
    <row r="1337" spans="2:29" ht="13.5" customHeight="1">
      <c r="B1337" s="98" t="str">
        <f>CONCATENATE("- Nr Dias: ",INFO!$C$20)</f>
        <v>- Nr Dias: 33</v>
      </c>
      <c r="C1337" s="121"/>
      <c r="D1337" s="121"/>
      <c r="E1337" s="121"/>
      <c r="F1337" s="121"/>
      <c r="G1337" s="121"/>
      <c r="H1337" s="121"/>
      <c r="I1337" s="121"/>
      <c r="J1337" s="121"/>
      <c r="K1337" s="121"/>
      <c r="L1337" s="121"/>
      <c r="M1337" s="121"/>
      <c r="N1337" s="121"/>
      <c r="O1337" s="121"/>
      <c r="P1337" s="121"/>
      <c r="Q1337" s="121"/>
      <c r="R1337" s="121"/>
      <c r="S1337" s="121"/>
      <c r="T1337" s="121"/>
      <c r="U1337" s="121"/>
      <c r="V1337" s="121"/>
      <c r="W1337" s="121"/>
      <c r="X1337" s="121"/>
      <c r="Y1337" s="121"/>
      <c r="Z1337" s="121"/>
      <c r="AA1337" s="121"/>
      <c r="AB1337" s="121"/>
    </row>
    <row r="1338" spans="2:29" ht="13.5" customHeight="1">
      <c r="B1338" s="98" t="str">
        <f>CONCATENATE("- Valor Estimado: R$ ",INDEX(QSGR!$J$16:$J$11170,AC1331))</f>
        <v xml:space="preserve">- Valor Estimado: R$ </v>
      </c>
      <c r="C1338" s="121"/>
      <c r="D1338" s="121"/>
      <c r="E1338" s="121"/>
      <c r="F1338" s="121"/>
      <c r="G1338" s="121"/>
      <c r="H1338" s="121"/>
      <c r="I1338" s="121"/>
      <c r="J1338" s="121"/>
      <c r="K1338" s="121"/>
      <c r="L1338" s="121"/>
      <c r="M1338" s="121"/>
      <c r="N1338" s="121"/>
      <c r="O1338" s="121"/>
      <c r="P1338" s="121"/>
      <c r="Q1338" s="121"/>
      <c r="R1338" s="121"/>
      <c r="S1338" s="121"/>
      <c r="T1338" s="121"/>
      <c r="U1338" s="121"/>
      <c r="V1338" s="121"/>
      <c r="W1338" s="121"/>
      <c r="X1338" s="121"/>
      <c r="Y1338" s="121"/>
      <c r="Z1338" s="121"/>
      <c r="AA1338" s="121"/>
      <c r="AB1338" s="121"/>
    </row>
    <row r="1339" spans="2:29" ht="13.5" customHeight="1">
      <c r="B1339" s="100"/>
      <c r="C1339" s="121"/>
      <c r="D1339" s="121"/>
      <c r="E1339" s="121"/>
      <c r="F1339" s="121"/>
      <c r="G1339" s="121"/>
      <c r="H1339" s="121"/>
      <c r="I1339" s="121"/>
      <c r="J1339" s="121"/>
      <c r="K1339" s="121"/>
      <c r="L1339" s="121"/>
      <c r="M1339" s="121"/>
      <c r="N1339" s="121"/>
      <c r="O1339" s="121"/>
      <c r="P1339" s="121"/>
      <c r="Q1339" s="121"/>
      <c r="R1339" s="121"/>
      <c r="S1339" s="121"/>
      <c r="T1339" s="121"/>
      <c r="U1339" s="121"/>
      <c r="V1339" s="121"/>
      <c r="W1339" s="121"/>
      <c r="X1339" s="121"/>
      <c r="Y1339" s="121"/>
      <c r="Z1339" s="121"/>
      <c r="AA1339" s="121"/>
      <c r="AB1339" s="121"/>
    </row>
    <row r="1340" spans="2:29" ht="13.5" customHeight="1">
      <c r="B1340" s="98" t="s">
        <v>55</v>
      </c>
      <c r="C1340" s="121"/>
      <c r="D1340" s="121"/>
      <c r="E1340" s="121"/>
      <c r="F1340" s="121"/>
      <c r="G1340" s="121"/>
      <c r="H1340" s="121"/>
      <c r="I1340" s="121"/>
      <c r="J1340" s="121"/>
      <c r="K1340" s="121"/>
      <c r="L1340" s="121"/>
      <c r="M1340" s="121"/>
      <c r="N1340" s="121"/>
      <c r="O1340" s="121"/>
      <c r="P1340" s="121"/>
      <c r="Q1340" s="121"/>
      <c r="R1340" s="121"/>
      <c r="S1340" s="121"/>
      <c r="T1340" s="121"/>
      <c r="U1340" s="121"/>
      <c r="V1340" s="121"/>
      <c r="W1340" s="121"/>
      <c r="X1340" s="121"/>
      <c r="Y1340" s="121"/>
      <c r="Z1340" s="121"/>
      <c r="AA1340" s="121"/>
      <c r="AB1340" s="121"/>
      <c r="AC1340" s="37">
        <f>AC1331+1</f>
        <v>149</v>
      </c>
    </row>
    <row r="1341" spans="2:29" ht="13.5" customHeight="1">
      <c r="B1341" s="99">
        <f>INDEX(QSGR!$B$16:$B$1570,AC1340)</f>
        <v>0</v>
      </c>
      <c r="C1341" s="121"/>
      <c r="D1341" s="121"/>
      <c r="E1341" s="97">
        <f>INDEX(QSGR!$D$16:$D$11170,AC1340)</f>
        <v>0</v>
      </c>
      <c r="F1341" s="121"/>
      <c r="G1341" s="121"/>
      <c r="H1341" s="121"/>
      <c r="I1341" s="121"/>
      <c r="J1341" s="121"/>
      <c r="K1341" s="121"/>
      <c r="L1341" s="121"/>
      <c r="M1341" s="121"/>
      <c r="N1341" s="121"/>
      <c r="O1341" s="121"/>
      <c r="P1341" s="121"/>
      <c r="Q1341" s="121"/>
      <c r="R1341" s="121"/>
      <c r="S1341" s="121"/>
      <c r="T1341" s="121"/>
      <c r="U1341" s="121"/>
      <c r="V1341" s="121"/>
      <c r="W1341" s="121"/>
      <c r="X1341" s="121"/>
      <c r="Y1341" s="121"/>
      <c r="Z1341" s="121"/>
      <c r="AA1341" s="121"/>
      <c r="AB1341" s="121"/>
    </row>
    <row r="1342" spans="2:29" ht="13.5" customHeight="1">
      <c r="B1342" s="96" t="str">
        <f>CONCATENATE("- Evento: ",INFO!$B$22)</f>
        <v>- Evento: PARTICIPAR DA OPERAÇÃO HORUS.</v>
      </c>
      <c r="C1342" s="121"/>
      <c r="D1342" s="121"/>
      <c r="E1342" s="121"/>
      <c r="F1342" s="121"/>
      <c r="G1342" s="121"/>
      <c r="H1342" s="121"/>
      <c r="I1342" s="121"/>
      <c r="J1342" s="121"/>
      <c r="K1342" s="121"/>
      <c r="L1342" s="121"/>
      <c r="M1342" s="121"/>
      <c r="N1342" s="121"/>
      <c r="O1342" s="121"/>
      <c r="P1342" s="121"/>
      <c r="Q1342" s="121"/>
      <c r="R1342" s="121"/>
      <c r="S1342" s="121"/>
      <c r="T1342" s="121"/>
      <c r="U1342" s="121"/>
      <c r="V1342" s="121"/>
      <c r="W1342" s="121"/>
      <c r="X1342" s="121"/>
      <c r="Y1342" s="121"/>
      <c r="Z1342" s="121"/>
      <c r="AA1342" s="121"/>
      <c r="AB1342" s="121"/>
    </row>
    <row r="1343" spans="2:29" ht="13.5" customHeight="1">
      <c r="B1343" s="98" t="str">
        <f>CONCATENATE("- Documento de Solicitação: ",INFO!$B$24)</f>
        <v>- Documento de Solicitação: TESTE AZUL</v>
      </c>
      <c r="C1343" s="121"/>
      <c r="D1343" s="121"/>
      <c r="E1343" s="121"/>
      <c r="F1343" s="121"/>
      <c r="G1343" s="121"/>
      <c r="H1343" s="121"/>
      <c r="I1343" s="121"/>
      <c r="J1343" s="121"/>
      <c r="K1343" s="121"/>
      <c r="L1343" s="121"/>
      <c r="M1343" s="121"/>
      <c r="N1343" s="121"/>
      <c r="O1343" s="121"/>
      <c r="P1343" s="121"/>
      <c r="Q1343" s="121"/>
      <c r="R1343" s="121"/>
      <c r="S1343" s="121"/>
      <c r="T1343" s="121"/>
      <c r="U1343" s="121"/>
      <c r="V1343" s="121"/>
      <c r="W1343" s="121"/>
      <c r="X1343" s="121"/>
      <c r="Y1343" s="121"/>
      <c r="Z1343" s="121"/>
      <c r="AA1343" s="121"/>
      <c r="AB1343" s="121"/>
    </row>
    <row r="1344" spans="2:29" ht="13.5" customHeight="1">
      <c r="B1344" s="98" t="str">
        <f>CONCATENATE("- Local: ",INFO!$C$18)</f>
        <v>- Local: GUAIRA - PR</v>
      </c>
      <c r="C1344" s="121"/>
      <c r="D1344" s="121"/>
      <c r="E1344" s="121"/>
      <c r="F1344" s="121"/>
      <c r="G1344" s="121"/>
      <c r="H1344" s="121"/>
      <c r="I1344" s="121"/>
      <c r="J1344" s="121"/>
      <c r="K1344" s="121"/>
      <c r="L1344" s="121"/>
      <c r="M1344" s="121"/>
      <c r="N1344" s="121"/>
      <c r="O1344" s="121"/>
      <c r="P1344" s="121"/>
      <c r="Q1344" s="121"/>
      <c r="R1344" s="121"/>
      <c r="S1344" s="121"/>
      <c r="T1344" s="121"/>
      <c r="U1344" s="121"/>
      <c r="V1344" s="121"/>
      <c r="W1344" s="121"/>
      <c r="X1344" s="121"/>
      <c r="Y1344" s="121"/>
      <c r="Z1344" s="121"/>
      <c r="AA1344" s="121"/>
      <c r="AB1344" s="121"/>
    </row>
    <row r="1345" spans="2:29" ht="13.5" customHeight="1">
      <c r="B1345" s="98" t="str">
        <f>CONCATENATE("- Periodo: ",INFO!$C$10," a ",INFO!$C$19)</f>
        <v xml:space="preserve">- Periodo: 22/7/2025  a 23/8/2025 </v>
      </c>
      <c r="C1345" s="121"/>
      <c r="D1345" s="121"/>
      <c r="E1345" s="121"/>
      <c r="F1345" s="121"/>
      <c r="G1345" s="121"/>
      <c r="H1345" s="121"/>
      <c r="I1345" s="121"/>
      <c r="J1345" s="121"/>
      <c r="K1345" s="121"/>
      <c r="L1345" s="121"/>
      <c r="M1345" s="121"/>
      <c r="N1345" s="121"/>
      <c r="O1345" s="121"/>
      <c r="P1345" s="121"/>
      <c r="Q1345" s="121"/>
      <c r="R1345" s="121"/>
      <c r="S1345" s="121"/>
      <c r="T1345" s="121"/>
      <c r="U1345" s="121"/>
      <c r="V1345" s="121"/>
      <c r="W1345" s="121"/>
      <c r="X1345" s="121"/>
      <c r="Y1345" s="121"/>
      <c r="Z1345" s="121"/>
      <c r="AA1345" s="121"/>
      <c r="AB1345" s="121"/>
    </row>
    <row r="1346" spans="2:29" ht="13.5" customHeight="1">
      <c r="B1346" s="98" t="str">
        <f>CONCATENATE("- Nr Dias: ",INFO!$C$20)</f>
        <v>- Nr Dias: 33</v>
      </c>
      <c r="C1346" s="121"/>
      <c r="D1346" s="121"/>
      <c r="E1346" s="121"/>
      <c r="F1346" s="121"/>
      <c r="G1346" s="121"/>
      <c r="H1346" s="121"/>
      <c r="I1346" s="121"/>
      <c r="J1346" s="121"/>
      <c r="K1346" s="121"/>
      <c r="L1346" s="121"/>
      <c r="M1346" s="121"/>
      <c r="N1346" s="121"/>
      <c r="O1346" s="121"/>
      <c r="P1346" s="121"/>
      <c r="Q1346" s="121"/>
      <c r="R1346" s="121"/>
      <c r="S1346" s="121"/>
      <c r="T1346" s="121"/>
      <c r="U1346" s="121"/>
      <c r="V1346" s="121"/>
      <c r="W1346" s="121"/>
      <c r="X1346" s="121"/>
      <c r="Y1346" s="121"/>
      <c r="Z1346" s="121"/>
      <c r="AA1346" s="121"/>
      <c r="AB1346" s="121"/>
    </row>
    <row r="1347" spans="2:29" ht="13.5" customHeight="1">
      <c r="B1347" s="98" t="str">
        <f>CONCATENATE("- Valor Estimado: R$ ",INDEX(QSGR!$J$16:$J$11170,AC1340))</f>
        <v xml:space="preserve">- Valor Estimado: R$ </v>
      </c>
      <c r="C1347" s="121"/>
      <c r="D1347" s="121"/>
      <c r="E1347" s="121"/>
      <c r="F1347" s="121"/>
      <c r="G1347" s="121"/>
      <c r="H1347" s="121"/>
      <c r="I1347" s="121"/>
      <c r="J1347" s="121"/>
      <c r="K1347" s="121"/>
      <c r="L1347" s="121"/>
      <c r="M1347" s="121"/>
      <c r="N1347" s="121"/>
      <c r="O1347" s="121"/>
      <c r="P1347" s="121"/>
      <c r="Q1347" s="121"/>
      <c r="R1347" s="121"/>
      <c r="S1347" s="121"/>
      <c r="T1347" s="121"/>
      <c r="U1347" s="121"/>
      <c r="V1347" s="121"/>
      <c r="W1347" s="121"/>
      <c r="X1347" s="121"/>
      <c r="Y1347" s="121"/>
      <c r="Z1347" s="121"/>
      <c r="AA1347" s="121"/>
      <c r="AB1347" s="121"/>
    </row>
    <row r="1348" spans="2:29" ht="13.5" customHeight="1">
      <c r="B1348" s="100"/>
      <c r="C1348" s="121"/>
      <c r="D1348" s="121"/>
      <c r="E1348" s="121"/>
      <c r="F1348" s="121"/>
      <c r="G1348" s="121"/>
      <c r="H1348" s="121"/>
      <c r="I1348" s="121"/>
      <c r="J1348" s="121"/>
      <c r="K1348" s="121"/>
      <c r="L1348" s="121"/>
      <c r="M1348" s="121"/>
      <c r="N1348" s="121"/>
      <c r="O1348" s="121"/>
      <c r="P1348" s="121"/>
      <c r="Q1348" s="121"/>
      <c r="R1348" s="121"/>
      <c r="S1348" s="121"/>
      <c r="T1348" s="121"/>
      <c r="U1348" s="121"/>
      <c r="V1348" s="121"/>
      <c r="W1348" s="121"/>
      <c r="X1348" s="121"/>
      <c r="Y1348" s="121"/>
      <c r="Z1348" s="121"/>
      <c r="AA1348" s="121"/>
      <c r="AB1348" s="121"/>
    </row>
    <row r="1349" spans="2:29" ht="13.5" customHeight="1">
      <c r="B1349" s="98" t="s">
        <v>55</v>
      </c>
      <c r="C1349" s="121"/>
      <c r="D1349" s="121"/>
      <c r="E1349" s="121"/>
      <c r="F1349" s="121"/>
      <c r="G1349" s="121"/>
      <c r="H1349" s="121"/>
      <c r="I1349" s="121"/>
      <c r="J1349" s="121"/>
      <c r="K1349" s="121"/>
      <c r="L1349" s="121"/>
      <c r="M1349" s="121"/>
      <c r="N1349" s="121"/>
      <c r="O1349" s="121"/>
      <c r="P1349" s="121"/>
      <c r="Q1349" s="121"/>
      <c r="R1349" s="121"/>
      <c r="S1349" s="121"/>
      <c r="T1349" s="121"/>
      <c r="U1349" s="121"/>
      <c r="V1349" s="121"/>
      <c r="W1349" s="121"/>
      <c r="X1349" s="121"/>
      <c r="Y1349" s="121"/>
      <c r="Z1349" s="121"/>
      <c r="AA1349" s="121"/>
      <c r="AB1349" s="121"/>
      <c r="AC1349" s="37">
        <f>AC1340+1</f>
        <v>150</v>
      </c>
    </row>
    <row r="1350" spans="2:29" ht="13.5" customHeight="1">
      <c r="B1350" s="99">
        <f>INDEX(QSGR!$B$16:$B$1570,AC1349)</f>
        <v>0</v>
      </c>
      <c r="C1350" s="121"/>
      <c r="D1350" s="121"/>
      <c r="E1350" s="97">
        <f>INDEX(QSGR!$D$16:$D$11170,AC1349)</f>
        <v>0</v>
      </c>
      <c r="F1350" s="121"/>
      <c r="G1350" s="121"/>
      <c r="H1350" s="121"/>
      <c r="I1350" s="121"/>
      <c r="J1350" s="121"/>
      <c r="K1350" s="121"/>
      <c r="L1350" s="121"/>
      <c r="M1350" s="121"/>
      <c r="N1350" s="121"/>
      <c r="O1350" s="121"/>
      <c r="P1350" s="121"/>
      <c r="Q1350" s="121"/>
      <c r="R1350" s="121"/>
      <c r="S1350" s="121"/>
      <c r="T1350" s="121"/>
      <c r="U1350" s="121"/>
      <c r="V1350" s="121"/>
      <c r="W1350" s="121"/>
      <c r="X1350" s="121"/>
      <c r="Y1350" s="121"/>
      <c r="Z1350" s="121"/>
      <c r="AA1350" s="121"/>
      <c r="AB1350" s="121"/>
    </row>
    <row r="1351" spans="2:29" ht="13.5" customHeight="1">
      <c r="B1351" s="96" t="str">
        <f>CONCATENATE("- Evento: ",INFO!$B$22)</f>
        <v>- Evento: PARTICIPAR DA OPERAÇÃO HORUS.</v>
      </c>
      <c r="C1351" s="121"/>
      <c r="D1351" s="121"/>
      <c r="E1351" s="121"/>
      <c r="F1351" s="121"/>
      <c r="G1351" s="121"/>
      <c r="H1351" s="121"/>
      <c r="I1351" s="121"/>
      <c r="J1351" s="121"/>
      <c r="K1351" s="121"/>
      <c r="L1351" s="121"/>
      <c r="M1351" s="121"/>
      <c r="N1351" s="121"/>
      <c r="O1351" s="121"/>
      <c r="P1351" s="121"/>
      <c r="Q1351" s="121"/>
      <c r="R1351" s="121"/>
      <c r="S1351" s="121"/>
      <c r="T1351" s="121"/>
      <c r="U1351" s="121"/>
      <c r="V1351" s="121"/>
      <c r="W1351" s="121"/>
      <c r="X1351" s="121"/>
      <c r="Y1351" s="121"/>
      <c r="Z1351" s="121"/>
      <c r="AA1351" s="121"/>
      <c r="AB1351" s="121"/>
    </row>
    <row r="1352" spans="2:29" ht="13.5" customHeight="1">
      <c r="B1352" s="98" t="str">
        <f>CONCATENATE("- Documento de Solicitação: ",INFO!$B$24)</f>
        <v>- Documento de Solicitação: TESTE AZUL</v>
      </c>
      <c r="C1352" s="121"/>
      <c r="D1352" s="121"/>
      <c r="E1352" s="121"/>
      <c r="F1352" s="121"/>
      <c r="G1352" s="121"/>
      <c r="H1352" s="121"/>
      <c r="I1352" s="121"/>
      <c r="J1352" s="121"/>
      <c r="K1352" s="121"/>
      <c r="L1352" s="121"/>
      <c r="M1352" s="121"/>
      <c r="N1352" s="121"/>
      <c r="O1352" s="121"/>
      <c r="P1352" s="121"/>
      <c r="Q1352" s="121"/>
      <c r="R1352" s="121"/>
      <c r="S1352" s="121"/>
      <c r="T1352" s="121"/>
      <c r="U1352" s="121"/>
      <c r="V1352" s="121"/>
      <c r="W1352" s="121"/>
      <c r="X1352" s="121"/>
      <c r="Y1352" s="121"/>
      <c r="Z1352" s="121"/>
      <c r="AA1352" s="121"/>
      <c r="AB1352" s="121"/>
    </row>
    <row r="1353" spans="2:29" ht="13.5" customHeight="1">
      <c r="B1353" s="98" t="str">
        <f>CONCATENATE("- Local: ",INFO!$C$18)</f>
        <v>- Local: GUAIRA - PR</v>
      </c>
      <c r="C1353" s="121"/>
      <c r="D1353" s="121"/>
      <c r="E1353" s="121"/>
      <c r="F1353" s="121"/>
      <c r="G1353" s="121"/>
      <c r="H1353" s="121"/>
      <c r="I1353" s="121"/>
      <c r="J1353" s="121"/>
      <c r="K1353" s="121"/>
      <c r="L1353" s="121"/>
      <c r="M1353" s="121"/>
      <c r="N1353" s="121"/>
      <c r="O1353" s="121"/>
      <c r="P1353" s="121"/>
      <c r="Q1353" s="121"/>
      <c r="R1353" s="121"/>
      <c r="S1353" s="121"/>
      <c r="T1353" s="121"/>
      <c r="U1353" s="121"/>
      <c r="V1353" s="121"/>
      <c r="W1353" s="121"/>
      <c r="X1353" s="121"/>
      <c r="Y1353" s="121"/>
      <c r="Z1353" s="121"/>
      <c r="AA1353" s="121"/>
      <c r="AB1353" s="121"/>
    </row>
    <row r="1354" spans="2:29" ht="13.5" customHeight="1">
      <c r="B1354" s="98" t="str">
        <f>CONCATENATE("- Periodo: ",INFO!$C$10," a ",INFO!$C$19)</f>
        <v xml:space="preserve">- Periodo: 22/7/2025  a 23/8/2025 </v>
      </c>
      <c r="C1354" s="121"/>
      <c r="D1354" s="121"/>
      <c r="E1354" s="121"/>
      <c r="F1354" s="121"/>
      <c r="G1354" s="121"/>
      <c r="H1354" s="121"/>
      <c r="I1354" s="121"/>
      <c r="J1354" s="121"/>
      <c r="K1354" s="121"/>
      <c r="L1354" s="121"/>
      <c r="M1354" s="121"/>
      <c r="N1354" s="121"/>
      <c r="O1354" s="121"/>
      <c r="P1354" s="121"/>
      <c r="Q1354" s="121"/>
      <c r="R1354" s="121"/>
      <c r="S1354" s="121"/>
      <c r="T1354" s="121"/>
      <c r="U1354" s="121"/>
      <c r="V1354" s="121"/>
      <c r="W1354" s="121"/>
      <c r="X1354" s="121"/>
      <c r="Y1354" s="121"/>
      <c r="Z1354" s="121"/>
      <c r="AA1354" s="121"/>
      <c r="AB1354" s="121"/>
    </row>
    <row r="1355" spans="2:29" ht="13.5" customHeight="1">
      <c r="B1355" s="98" t="str">
        <f>CONCATENATE("- Nr Dias: ",INFO!$C$20)</f>
        <v>- Nr Dias: 33</v>
      </c>
      <c r="C1355" s="121"/>
      <c r="D1355" s="121"/>
      <c r="E1355" s="121"/>
      <c r="F1355" s="121"/>
      <c r="G1355" s="121"/>
      <c r="H1355" s="121"/>
      <c r="I1355" s="121"/>
      <c r="J1355" s="121"/>
      <c r="K1355" s="121"/>
      <c r="L1355" s="121"/>
      <c r="M1355" s="121"/>
      <c r="N1355" s="121"/>
      <c r="O1355" s="121"/>
      <c r="P1355" s="121"/>
      <c r="Q1355" s="121"/>
      <c r="R1355" s="121"/>
      <c r="S1355" s="121"/>
      <c r="T1355" s="121"/>
      <c r="U1355" s="121"/>
      <c r="V1355" s="121"/>
      <c r="W1355" s="121"/>
      <c r="X1355" s="121"/>
      <c r="Y1355" s="121"/>
      <c r="Z1355" s="121"/>
      <c r="AA1355" s="121"/>
      <c r="AB1355" s="121"/>
    </row>
    <row r="1356" spans="2:29" ht="13.5" customHeight="1">
      <c r="B1356" s="98" t="str">
        <f>CONCATENATE("- Valor Estimado: R$ ",INDEX(QSGR!$J$16:$J$11170,AC1349))</f>
        <v xml:space="preserve">- Valor Estimado: R$ </v>
      </c>
      <c r="C1356" s="121"/>
      <c r="D1356" s="121"/>
      <c r="E1356" s="121"/>
      <c r="F1356" s="121"/>
      <c r="G1356" s="121"/>
      <c r="H1356" s="121"/>
      <c r="I1356" s="121"/>
      <c r="J1356" s="121"/>
      <c r="K1356" s="121"/>
      <c r="L1356" s="121"/>
      <c r="M1356" s="121"/>
      <c r="N1356" s="121"/>
      <c r="O1356" s="121"/>
      <c r="P1356" s="121"/>
      <c r="Q1356" s="121"/>
      <c r="R1356" s="121"/>
      <c r="S1356" s="121"/>
      <c r="T1356" s="121"/>
      <c r="U1356" s="121"/>
      <c r="V1356" s="121"/>
      <c r="W1356" s="121"/>
      <c r="X1356" s="121"/>
      <c r="Y1356" s="121"/>
      <c r="Z1356" s="121"/>
      <c r="AA1356" s="121"/>
      <c r="AB1356" s="121"/>
    </row>
    <row r="1357" spans="2:29" ht="13.5" customHeight="1">
      <c r="B1357" s="100"/>
      <c r="C1357" s="121"/>
      <c r="D1357" s="121"/>
      <c r="E1357" s="121"/>
      <c r="F1357" s="121"/>
      <c r="G1357" s="121"/>
      <c r="H1357" s="121"/>
      <c r="I1357" s="121"/>
      <c r="J1357" s="121"/>
      <c r="K1357" s="121"/>
      <c r="L1357" s="121"/>
      <c r="M1357" s="121"/>
      <c r="N1357" s="121"/>
      <c r="O1357" s="121"/>
      <c r="P1357" s="121"/>
      <c r="Q1357" s="121"/>
      <c r="R1357" s="121"/>
      <c r="S1357" s="121"/>
      <c r="T1357" s="121"/>
      <c r="U1357" s="121"/>
      <c r="V1357" s="121"/>
      <c r="W1357" s="121"/>
      <c r="X1357" s="121"/>
      <c r="Y1357" s="121"/>
      <c r="Z1357" s="121"/>
      <c r="AA1357" s="121"/>
      <c r="AB1357" s="121"/>
    </row>
    <row r="1358" spans="2:29" ht="13.5" customHeight="1">
      <c r="B1358" s="98" t="s">
        <v>55</v>
      </c>
      <c r="C1358" s="121"/>
      <c r="D1358" s="121"/>
      <c r="E1358" s="121"/>
      <c r="F1358" s="121"/>
      <c r="G1358" s="121"/>
      <c r="H1358" s="121"/>
      <c r="I1358" s="121"/>
      <c r="J1358" s="121"/>
      <c r="K1358" s="121"/>
      <c r="L1358" s="121"/>
      <c r="M1358" s="121"/>
      <c r="N1358" s="121"/>
      <c r="O1358" s="121"/>
      <c r="P1358" s="121"/>
      <c r="Q1358" s="121"/>
      <c r="R1358" s="121"/>
      <c r="S1358" s="121"/>
      <c r="T1358" s="121"/>
      <c r="U1358" s="121"/>
      <c r="V1358" s="121"/>
      <c r="W1358" s="121"/>
      <c r="X1358" s="121"/>
      <c r="Y1358" s="121"/>
      <c r="Z1358" s="121"/>
      <c r="AA1358" s="121"/>
      <c r="AB1358" s="121"/>
      <c r="AC1358" s="37">
        <f>AC1349+1</f>
        <v>151</v>
      </c>
    </row>
    <row r="1359" spans="2:29" ht="13.5" customHeight="1">
      <c r="B1359" s="99">
        <f>INDEX(QSGR!$B$16:$B$1570,AC1358)</f>
        <v>0</v>
      </c>
      <c r="C1359" s="121"/>
      <c r="D1359" s="121"/>
      <c r="E1359" s="97">
        <f>INDEX(QSGR!$D$16:$D$11170,AC1358)</f>
        <v>0</v>
      </c>
      <c r="F1359" s="121"/>
      <c r="G1359" s="121"/>
      <c r="H1359" s="121"/>
      <c r="I1359" s="121"/>
      <c r="J1359" s="121"/>
      <c r="K1359" s="121"/>
      <c r="L1359" s="121"/>
      <c r="M1359" s="121"/>
      <c r="N1359" s="121"/>
      <c r="O1359" s="121"/>
      <c r="P1359" s="121"/>
      <c r="Q1359" s="121"/>
      <c r="R1359" s="121"/>
      <c r="S1359" s="121"/>
      <c r="T1359" s="121"/>
      <c r="U1359" s="121"/>
      <c r="V1359" s="121"/>
      <c r="W1359" s="121"/>
      <c r="X1359" s="121"/>
      <c r="Y1359" s="121"/>
      <c r="Z1359" s="121"/>
      <c r="AA1359" s="121"/>
      <c r="AB1359" s="121"/>
    </row>
    <row r="1360" spans="2:29" ht="13.5" customHeight="1">
      <c r="B1360" s="96" t="str">
        <f>CONCATENATE("- Evento: ",INFO!$B$22)</f>
        <v>- Evento: PARTICIPAR DA OPERAÇÃO HORUS.</v>
      </c>
      <c r="C1360" s="121"/>
      <c r="D1360" s="121"/>
      <c r="E1360" s="121"/>
      <c r="F1360" s="121"/>
      <c r="G1360" s="121"/>
      <c r="H1360" s="121"/>
      <c r="I1360" s="121"/>
      <c r="J1360" s="121"/>
      <c r="K1360" s="121"/>
      <c r="L1360" s="121"/>
      <c r="M1360" s="121"/>
      <c r="N1360" s="121"/>
      <c r="O1360" s="121"/>
      <c r="P1360" s="121"/>
      <c r="Q1360" s="121"/>
      <c r="R1360" s="121"/>
      <c r="S1360" s="121"/>
      <c r="T1360" s="121"/>
      <c r="U1360" s="121"/>
      <c r="V1360" s="121"/>
      <c r="W1360" s="121"/>
      <c r="X1360" s="121"/>
      <c r="Y1360" s="121"/>
      <c r="Z1360" s="121"/>
      <c r="AA1360" s="121"/>
      <c r="AB1360" s="121"/>
    </row>
    <row r="1361" spans="2:29" ht="13.5" customHeight="1">
      <c r="B1361" s="98" t="str">
        <f>CONCATENATE("- Documento de Solicitação: ",INFO!$B$24)</f>
        <v>- Documento de Solicitação: TESTE AZUL</v>
      </c>
      <c r="C1361" s="121"/>
      <c r="D1361" s="121"/>
      <c r="E1361" s="121"/>
      <c r="F1361" s="121"/>
      <c r="G1361" s="121"/>
      <c r="H1361" s="121"/>
      <c r="I1361" s="121"/>
      <c r="J1361" s="121"/>
      <c r="K1361" s="121"/>
      <c r="L1361" s="121"/>
      <c r="M1361" s="121"/>
      <c r="N1361" s="121"/>
      <c r="O1361" s="121"/>
      <c r="P1361" s="121"/>
      <c r="Q1361" s="121"/>
      <c r="R1361" s="121"/>
      <c r="S1361" s="121"/>
      <c r="T1361" s="121"/>
      <c r="U1361" s="121"/>
      <c r="V1361" s="121"/>
      <c r="W1361" s="121"/>
      <c r="X1361" s="121"/>
      <c r="Y1361" s="121"/>
      <c r="Z1361" s="121"/>
      <c r="AA1361" s="121"/>
      <c r="AB1361" s="121"/>
    </row>
    <row r="1362" spans="2:29" ht="13.5" customHeight="1">
      <c r="B1362" s="98" t="str">
        <f>CONCATENATE("- Local: ",INFO!$C$18)</f>
        <v>- Local: GUAIRA - PR</v>
      </c>
      <c r="C1362" s="121"/>
      <c r="D1362" s="121"/>
      <c r="E1362" s="121"/>
      <c r="F1362" s="121"/>
      <c r="G1362" s="121"/>
      <c r="H1362" s="121"/>
      <c r="I1362" s="121"/>
      <c r="J1362" s="121"/>
      <c r="K1362" s="121"/>
      <c r="L1362" s="121"/>
      <c r="M1362" s="121"/>
      <c r="N1362" s="121"/>
      <c r="O1362" s="121"/>
      <c r="P1362" s="121"/>
      <c r="Q1362" s="121"/>
      <c r="R1362" s="121"/>
      <c r="S1362" s="121"/>
      <c r="T1362" s="121"/>
      <c r="U1362" s="121"/>
      <c r="V1362" s="121"/>
      <c r="W1362" s="121"/>
      <c r="X1362" s="121"/>
      <c r="Y1362" s="121"/>
      <c r="Z1362" s="121"/>
      <c r="AA1362" s="121"/>
      <c r="AB1362" s="121"/>
    </row>
    <row r="1363" spans="2:29" ht="13.5" customHeight="1">
      <c r="B1363" s="98" t="str">
        <f>CONCATENATE("- Periodo: ",INFO!$C$10," a ",INFO!$C$19)</f>
        <v xml:space="preserve">- Periodo: 22/7/2025  a 23/8/2025 </v>
      </c>
      <c r="C1363" s="121"/>
      <c r="D1363" s="121"/>
      <c r="E1363" s="121"/>
      <c r="F1363" s="121"/>
      <c r="G1363" s="121"/>
      <c r="H1363" s="121"/>
      <c r="I1363" s="121"/>
      <c r="J1363" s="121"/>
      <c r="K1363" s="121"/>
      <c r="L1363" s="121"/>
      <c r="M1363" s="121"/>
      <c r="N1363" s="121"/>
      <c r="O1363" s="121"/>
      <c r="P1363" s="121"/>
      <c r="Q1363" s="121"/>
      <c r="R1363" s="121"/>
      <c r="S1363" s="121"/>
      <c r="T1363" s="121"/>
      <c r="U1363" s="121"/>
      <c r="V1363" s="121"/>
      <c r="W1363" s="121"/>
      <c r="X1363" s="121"/>
      <c r="Y1363" s="121"/>
      <c r="Z1363" s="121"/>
      <c r="AA1363" s="121"/>
      <c r="AB1363" s="121"/>
    </row>
    <row r="1364" spans="2:29" ht="13.5" customHeight="1">
      <c r="B1364" s="98" t="str">
        <f>CONCATENATE("- Nr Dias: ",INFO!$C$20)</f>
        <v>- Nr Dias: 33</v>
      </c>
      <c r="C1364" s="121"/>
      <c r="D1364" s="121"/>
      <c r="E1364" s="121"/>
      <c r="F1364" s="121"/>
      <c r="G1364" s="121"/>
      <c r="H1364" s="121"/>
      <c r="I1364" s="121"/>
      <c r="J1364" s="121"/>
      <c r="K1364" s="121"/>
      <c r="L1364" s="121"/>
      <c r="M1364" s="121"/>
      <c r="N1364" s="121"/>
      <c r="O1364" s="121"/>
      <c r="P1364" s="121"/>
      <c r="Q1364" s="121"/>
      <c r="R1364" s="121"/>
      <c r="S1364" s="121"/>
      <c r="T1364" s="121"/>
      <c r="U1364" s="121"/>
      <c r="V1364" s="121"/>
      <c r="W1364" s="121"/>
      <c r="X1364" s="121"/>
      <c r="Y1364" s="121"/>
      <c r="Z1364" s="121"/>
      <c r="AA1364" s="121"/>
      <c r="AB1364" s="121"/>
    </row>
    <row r="1365" spans="2:29" ht="13.5" customHeight="1">
      <c r="B1365" s="98" t="str">
        <f>CONCATENATE("- Valor Estimado: R$ ",INDEX(QSGR!$J$16:$J$11170,AC1358))</f>
        <v xml:space="preserve">- Valor Estimado: R$ </v>
      </c>
      <c r="C1365" s="121"/>
      <c r="D1365" s="121"/>
      <c r="E1365" s="121"/>
      <c r="F1365" s="121"/>
      <c r="G1365" s="121"/>
      <c r="H1365" s="121"/>
      <c r="I1365" s="121"/>
      <c r="J1365" s="121"/>
      <c r="K1365" s="121"/>
      <c r="L1365" s="121"/>
      <c r="M1365" s="121"/>
      <c r="N1365" s="121"/>
      <c r="O1365" s="121"/>
      <c r="P1365" s="121"/>
      <c r="Q1365" s="121"/>
      <c r="R1365" s="121"/>
      <c r="S1365" s="121"/>
      <c r="T1365" s="121"/>
      <c r="U1365" s="121"/>
      <c r="V1365" s="121"/>
      <c r="W1365" s="121"/>
      <c r="X1365" s="121"/>
      <c r="Y1365" s="121"/>
      <c r="Z1365" s="121"/>
      <c r="AA1365" s="121"/>
      <c r="AB1365" s="121"/>
    </row>
    <row r="1366" spans="2:29" ht="13.5" customHeight="1">
      <c r="B1366" s="100"/>
      <c r="C1366" s="121"/>
      <c r="D1366" s="121"/>
      <c r="E1366" s="121"/>
      <c r="F1366" s="121"/>
      <c r="G1366" s="121"/>
      <c r="H1366" s="121"/>
      <c r="I1366" s="121"/>
      <c r="J1366" s="121"/>
      <c r="K1366" s="121"/>
      <c r="L1366" s="121"/>
      <c r="M1366" s="121"/>
      <c r="N1366" s="121"/>
      <c r="O1366" s="121"/>
      <c r="P1366" s="121"/>
      <c r="Q1366" s="121"/>
      <c r="R1366" s="121"/>
      <c r="S1366" s="121"/>
      <c r="T1366" s="121"/>
      <c r="U1366" s="121"/>
      <c r="V1366" s="121"/>
      <c r="W1366" s="121"/>
      <c r="X1366" s="121"/>
      <c r="Y1366" s="121"/>
      <c r="Z1366" s="121"/>
      <c r="AA1366" s="121"/>
      <c r="AB1366" s="121"/>
    </row>
    <row r="1367" spans="2:29" ht="13.5" customHeight="1">
      <c r="B1367" s="98" t="s">
        <v>55</v>
      </c>
      <c r="C1367" s="121"/>
      <c r="D1367" s="121"/>
      <c r="E1367" s="121"/>
      <c r="F1367" s="121"/>
      <c r="G1367" s="121"/>
      <c r="H1367" s="121"/>
      <c r="I1367" s="121"/>
      <c r="J1367" s="121"/>
      <c r="K1367" s="121"/>
      <c r="L1367" s="121"/>
      <c r="M1367" s="121"/>
      <c r="N1367" s="121"/>
      <c r="O1367" s="121"/>
      <c r="P1367" s="121"/>
      <c r="Q1367" s="121"/>
      <c r="R1367" s="121"/>
      <c r="S1367" s="121"/>
      <c r="T1367" s="121"/>
      <c r="U1367" s="121"/>
      <c r="V1367" s="121"/>
      <c r="W1367" s="121"/>
      <c r="X1367" s="121"/>
      <c r="Y1367" s="121"/>
      <c r="Z1367" s="121"/>
      <c r="AA1367" s="121"/>
      <c r="AB1367" s="121"/>
      <c r="AC1367" s="37">
        <f>AC1358+1</f>
        <v>152</v>
      </c>
    </row>
    <row r="1368" spans="2:29" ht="13.5" customHeight="1">
      <c r="B1368" s="99">
        <f>INDEX(QSGR!$B$16:$B$1570,AC1367)</f>
        <v>0</v>
      </c>
      <c r="C1368" s="121"/>
      <c r="D1368" s="121"/>
      <c r="E1368" s="97">
        <f>INDEX(QSGR!$D$16:$D$11170,AC1367)</f>
        <v>0</v>
      </c>
      <c r="F1368" s="121"/>
      <c r="G1368" s="121"/>
      <c r="H1368" s="121"/>
      <c r="I1368" s="121"/>
      <c r="J1368" s="121"/>
      <c r="K1368" s="121"/>
      <c r="L1368" s="121"/>
      <c r="M1368" s="121"/>
      <c r="N1368" s="121"/>
      <c r="O1368" s="121"/>
      <c r="P1368" s="121"/>
      <c r="Q1368" s="121"/>
      <c r="R1368" s="121"/>
      <c r="S1368" s="121"/>
      <c r="T1368" s="121"/>
      <c r="U1368" s="121"/>
      <c r="V1368" s="121"/>
      <c r="W1368" s="121"/>
      <c r="X1368" s="121"/>
      <c r="Y1368" s="121"/>
      <c r="Z1368" s="121"/>
      <c r="AA1368" s="121"/>
      <c r="AB1368" s="121"/>
    </row>
    <row r="1369" spans="2:29" ht="13.5" customHeight="1">
      <c r="B1369" s="96" t="str">
        <f>CONCATENATE("- Evento: ",INFO!$B$22)</f>
        <v>- Evento: PARTICIPAR DA OPERAÇÃO HORUS.</v>
      </c>
      <c r="C1369" s="121"/>
      <c r="D1369" s="121"/>
      <c r="E1369" s="121"/>
      <c r="F1369" s="121"/>
      <c r="G1369" s="121"/>
      <c r="H1369" s="121"/>
      <c r="I1369" s="121"/>
      <c r="J1369" s="121"/>
      <c r="K1369" s="121"/>
      <c r="L1369" s="121"/>
      <c r="M1369" s="121"/>
      <c r="N1369" s="121"/>
      <c r="O1369" s="121"/>
      <c r="P1369" s="121"/>
      <c r="Q1369" s="121"/>
      <c r="R1369" s="121"/>
      <c r="S1369" s="121"/>
      <c r="T1369" s="121"/>
      <c r="U1369" s="121"/>
      <c r="V1369" s="121"/>
      <c r="W1369" s="121"/>
      <c r="X1369" s="121"/>
      <c r="Y1369" s="121"/>
      <c r="Z1369" s="121"/>
      <c r="AA1369" s="121"/>
      <c r="AB1369" s="121"/>
    </row>
    <row r="1370" spans="2:29" ht="13.5" customHeight="1">
      <c r="B1370" s="98" t="str">
        <f>CONCATENATE("- Documento de Solicitação: ",INFO!$B$24)</f>
        <v>- Documento de Solicitação: TESTE AZUL</v>
      </c>
      <c r="C1370" s="121"/>
      <c r="D1370" s="121"/>
      <c r="E1370" s="121"/>
      <c r="F1370" s="121"/>
      <c r="G1370" s="121"/>
      <c r="H1370" s="121"/>
      <c r="I1370" s="121"/>
      <c r="J1370" s="121"/>
      <c r="K1370" s="121"/>
      <c r="L1370" s="121"/>
      <c r="M1370" s="121"/>
      <c r="N1370" s="121"/>
      <c r="O1370" s="121"/>
      <c r="P1370" s="121"/>
      <c r="Q1370" s="121"/>
      <c r="R1370" s="121"/>
      <c r="S1370" s="121"/>
      <c r="T1370" s="121"/>
      <c r="U1370" s="121"/>
      <c r="V1370" s="121"/>
      <c r="W1370" s="121"/>
      <c r="X1370" s="121"/>
      <c r="Y1370" s="121"/>
      <c r="Z1370" s="121"/>
      <c r="AA1370" s="121"/>
      <c r="AB1370" s="121"/>
    </row>
    <row r="1371" spans="2:29" ht="13.5" customHeight="1">
      <c r="B1371" s="98" t="str">
        <f>CONCATENATE("- Local: ",INFO!$C$18)</f>
        <v>- Local: GUAIRA - PR</v>
      </c>
      <c r="C1371" s="121"/>
      <c r="D1371" s="121"/>
      <c r="E1371" s="121"/>
      <c r="F1371" s="121"/>
      <c r="G1371" s="121"/>
      <c r="H1371" s="121"/>
      <c r="I1371" s="121"/>
      <c r="J1371" s="121"/>
      <c r="K1371" s="121"/>
      <c r="L1371" s="121"/>
      <c r="M1371" s="121"/>
      <c r="N1371" s="121"/>
      <c r="O1371" s="121"/>
      <c r="P1371" s="121"/>
      <c r="Q1371" s="121"/>
      <c r="R1371" s="121"/>
      <c r="S1371" s="121"/>
      <c r="T1371" s="121"/>
      <c r="U1371" s="121"/>
      <c r="V1371" s="121"/>
      <c r="W1371" s="121"/>
      <c r="X1371" s="121"/>
      <c r="Y1371" s="121"/>
      <c r="Z1371" s="121"/>
      <c r="AA1371" s="121"/>
      <c r="AB1371" s="121"/>
    </row>
    <row r="1372" spans="2:29" ht="13.5" customHeight="1">
      <c r="B1372" s="98" t="str">
        <f>CONCATENATE("- Periodo: ",INFO!$C$10," a ",INFO!$C$19)</f>
        <v xml:space="preserve">- Periodo: 22/7/2025  a 23/8/2025 </v>
      </c>
      <c r="C1372" s="121"/>
      <c r="D1372" s="121"/>
      <c r="E1372" s="121"/>
      <c r="F1372" s="121"/>
      <c r="G1372" s="121"/>
      <c r="H1372" s="121"/>
      <c r="I1372" s="121"/>
      <c r="J1372" s="121"/>
      <c r="K1372" s="121"/>
      <c r="L1372" s="121"/>
      <c r="M1372" s="121"/>
      <c r="N1372" s="121"/>
      <c r="O1372" s="121"/>
      <c r="P1372" s="121"/>
      <c r="Q1372" s="121"/>
      <c r="R1372" s="121"/>
      <c r="S1372" s="121"/>
      <c r="T1372" s="121"/>
      <c r="U1372" s="121"/>
      <c r="V1372" s="121"/>
      <c r="W1372" s="121"/>
      <c r="X1372" s="121"/>
      <c r="Y1372" s="121"/>
      <c r="Z1372" s="121"/>
      <c r="AA1372" s="121"/>
      <c r="AB1372" s="121"/>
    </row>
    <row r="1373" spans="2:29" ht="13.5" customHeight="1">
      <c r="B1373" s="98" t="str">
        <f>CONCATENATE("- Nr Dias: ",INFO!$C$20)</f>
        <v>- Nr Dias: 33</v>
      </c>
      <c r="C1373" s="121"/>
      <c r="D1373" s="121"/>
      <c r="E1373" s="121"/>
      <c r="F1373" s="121"/>
      <c r="G1373" s="121"/>
      <c r="H1373" s="121"/>
      <c r="I1373" s="121"/>
      <c r="J1373" s="121"/>
      <c r="K1373" s="121"/>
      <c r="L1373" s="121"/>
      <c r="M1373" s="121"/>
      <c r="N1373" s="121"/>
      <c r="O1373" s="121"/>
      <c r="P1373" s="121"/>
      <c r="Q1373" s="121"/>
      <c r="R1373" s="121"/>
      <c r="S1373" s="121"/>
      <c r="T1373" s="121"/>
      <c r="U1373" s="121"/>
      <c r="V1373" s="121"/>
      <c r="W1373" s="121"/>
      <c r="X1373" s="121"/>
      <c r="Y1373" s="121"/>
      <c r="Z1373" s="121"/>
      <c r="AA1373" s="121"/>
      <c r="AB1373" s="121"/>
    </row>
    <row r="1374" spans="2:29" ht="13.5" customHeight="1">
      <c r="B1374" s="98" t="str">
        <f>CONCATENATE("- Valor Estimado: R$ ",INDEX(QSGR!$J$16:$J$11170,AC1367))</f>
        <v xml:space="preserve">- Valor Estimado: R$ </v>
      </c>
      <c r="C1374" s="121"/>
      <c r="D1374" s="121"/>
      <c r="E1374" s="121"/>
      <c r="F1374" s="121"/>
      <c r="G1374" s="121"/>
      <c r="H1374" s="121"/>
      <c r="I1374" s="121"/>
      <c r="J1374" s="121"/>
      <c r="K1374" s="121"/>
      <c r="L1374" s="121"/>
      <c r="M1374" s="121"/>
      <c r="N1374" s="121"/>
      <c r="O1374" s="121"/>
      <c r="P1374" s="121"/>
      <c r="Q1374" s="121"/>
      <c r="R1374" s="121"/>
      <c r="S1374" s="121"/>
      <c r="T1374" s="121"/>
      <c r="U1374" s="121"/>
      <c r="V1374" s="121"/>
      <c r="W1374" s="121"/>
      <c r="X1374" s="121"/>
      <c r="Y1374" s="121"/>
      <c r="Z1374" s="121"/>
      <c r="AA1374" s="121"/>
      <c r="AB1374" s="121"/>
    </row>
    <row r="1375" spans="2:29" ht="13.5" customHeight="1">
      <c r="B1375" s="100"/>
      <c r="C1375" s="121"/>
      <c r="D1375" s="121"/>
      <c r="E1375" s="121"/>
      <c r="F1375" s="121"/>
      <c r="G1375" s="121"/>
      <c r="H1375" s="121"/>
      <c r="I1375" s="121"/>
      <c r="J1375" s="121"/>
      <c r="K1375" s="121"/>
      <c r="L1375" s="121"/>
      <c r="M1375" s="121"/>
      <c r="N1375" s="121"/>
      <c r="O1375" s="121"/>
      <c r="P1375" s="121"/>
      <c r="Q1375" s="121"/>
      <c r="R1375" s="121"/>
      <c r="S1375" s="121"/>
      <c r="T1375" s="121"/>
      <c r="U1375" s="121"/>
      <c r="V1375" s="121"/>
      <c r="W1375" s="121"/>
      <c r="X1375" s="121"/>
      <c r="Y1375" s="121"/>
      <c r="Z1375" s="121"/>
      <c r="AA1375" s="121"/>
      <c r="AB1375" s="121"/>
    </row>
    <row r="1376" spans="2:29" ht="13.5" customHeight="1">
      <c r="B1376" s="98" t="s">
        <v>55</v>
      </c>
      <c r="C1376" s="121"/>
      <c r="D1376" s="121"/>
      <c r="E1376" s="121"/>
      <c r="F1376" s="121"/>
      <c r="G1376" s="121"/>
      <c r="H1376" s="121"/>
      <c r="I1376" s="121"/>
      <c r="J1376" s="121"/>
      <c r="K1376" s="121"/>
      <c r="L1376" s="121"/>
      <c r="M1376" s="121"/>
      <c r="N1376" s="121"/>
      <c r="O1376" s="121"/>
      <c r="P1376" s="121"/>
      <c r="Q1376" s="121"/>
      <c r="R1376" s="121"/>
      <c r="S1376" s="121"/>
      <c r="T1376" s="121"/>
      <c r="U1376" s="121"/>
      <c r="V1376" s="121"/>
      <c r="W1376" s="121"/>
      <c r="X1376" s="121"/>
      <c r="Y1376" s="121"/>
      <c r="Z1376" s="121"/>
      <c r="AA1376" s="121"/>
      <c r="AB1376" s="121"/>
      <c r="AC1376" s="37">
        <f>AC1367+1</f>
        <v>153</v>
      </c>
    </row>
    <row r="1377" spans="2:29" ht="13.5" customHeight="1">
      <c r="B1377" s="99">
        <f>INDEX(QSGR!$B$16:$B$1570,AC1376)</f>
        <v>0</v>
      </c>
      <c r="C1377" s="121"/>
      <c r="D1377" s="121"/>
      <c r="E1377" s="97">
        <f>INDEX(QSGR!$D$16:$D$11170,AC1376)</f>
        <v>0</v>
      </c>
      <c r="F1377" s="121"/>
      <c r="G1377" s="121"/>
      <c r="H1377" s="121"/>
      <c r="I1377" s="121"/>
      <c r="J1377" s="121"/>
      <c r="K1377" s="121"/>
      <c r="L1377" s="121"/>
      <c r="M1377" s="121"/>
      <c r="N1377" s="121"/>
      <c r="O1377" s="121"/>
      <c r="P1377" s="121"/>
      <c r="Q1377" s="121"/>
      <c r="R1377" s="121"/>
      <c r="S1377" s="121"/>
      <c r="T1377" s="121"/>
      <c r="U1377" s="121"/>
      <c r="V1377" s="121"/>
      <c r="W1377" s="121"/>
      <c r="X1377" s="121"/>
      <c r="Y1377" s="121"/>
      <c r="Z1377" s="121"/>
      <c r="AA1377" s="121"/>
      <c r="AB1377" s="121"/>
    </row>
    <row r="1378" spans="2:29" ht="13.5" customHeight="1">
      <c r="B1378" s="96" t="str">
        <f>CONCATENATE("- Evento: ",INFO!$B$22)</f>
        <v>- Evento: PARTICIPAR DA OPERAÇÃO HORUS.</v>
      </c>
      <c r="C1378" s="121"/>
      <c r="D1378" s="121"/>
      <c r="E1378" s="121"/>
      <c r="F1378" s="121"/>
      <c r="G1378" s="121"/>
      <c r="H1378" s="121"/>
      <c r="I1378" s="121"/>
      <c r="J1378" s="121"/>
      <c r="K1378" s="121"/>
      <c r="L1378" s="121"/>
      <c r="M1378" s="121"/>
      <c r="N1378" s="121"/>
      <c r="O1378" s="121"/>
      <c r="P1378" s="121"/>
      <c r="Q1378" s="121"/>
      <c r="R1378" s="121"/>
      <c r="S1378" s="121"/>
      <c r="T1378" s="121"/>
      <c r="U1378" s="121"/>
      <c r="V1378" s="121"/>
      <c r="W1378" s="121"/>
      <c r="X1378" s="121"/>
      <c r="Y1378" s="121"/>
      <c r="Z1378" s="121"/>
      <c r="AA1378" s="121"/>
      <c r="AB1378" s="121"/>
    </row>
    <row r="1379" spans="2:29" ht="13.5" customHeight="1">
      <c r="B1379" s="98" t="str">
        <f>CONCATENATE("- Documento de Solicitação: ",INFO!$B$24)</f>
        <v>- Documento de Solicitação: TESTE AZUL</v>
      </c>
      <c r="C1379" s="121"/>
      <c r="D1379" s="121"/>
      <c r="E1379" s="121"/>
      <c r="F1379" s="121"/>
      <c r="G1379" s="121"/>
      <c r="H1379" s="121"/>
      <c r="I1379" s="121"/>
      <c r="J1379" s="121"/>
      <c r="K1379" s="121"/>
      <c r="L1379" s="121"/>
      <c r="M1379" s="121"/>
      <c r="N1379" s="121"/>
      <c r="O1379" s="121"/>
      <c r="P1379" s="121"/>
      <c r="Q1379" s="121"/>
      <c r="R1379" s="121"/>
      <c r="S1379" s="121"/>
      <c r="T1379" s="121"/>
      <c r="U1379" s="121"/>
      <c r="V1379" s="121"/>
      <c r="W1379" s="121"/>
      <c r="X1379" s="121"/>
      <c r="Y1379" s="121"/>
      <c r="Z1379" s="121"/>
      <c r="AA1379" s="121"/>
      <c r="AB1379" s="121"/>
    </row>
    <row r="1380" spans="2:29" ht="13.5" customHeight="1">
      <c r="B1380" s="98" t="str">
        <f>CONCATENATE("- Local: ",INFO!$C$18)</f>
        <v>- Local: GUAIRA - PR</v>
      </c>
      <c r="C1380" s="121"/>
      <c r="D1380" s="121"/>
      <c r="E1380" s="121"/>
      <c r="F1380" s="121"/>
      <c r="G1380" s="121"/>
      <c r="H1380" s="121"/>
      <c r="I1380" s="121"/>
      <c r="J1380" s="121"/>
      <c r="K1380" s="121"/>
      <c r="L1380" s="121"/>
      <c r="M1380" s="121"/>
      <c r="N1380" s="121"/>
      <c r="O1380" s="121"/>
      <c r="P1380" s="121"/>
      <c r="Q1380" s="121"/>
      <c r="R1380" s="121"/>
      <c r="S1380" s="121"/>
      <c r="T1380" s="121"/>
      <c r="U1380" s="121"/>
      <c r="V1380" s="121"/>
      <c r="W1380" s="121"/>
      <c r="X1380" s="121"/>
      <c r="Y1380" s="121"/>
      <c r="Z1380" s="121"/>
      <c r="AA1380" s="121"/>
      <c r="AB1380" s="121"/>
    </row>
    <row r="1381" spans="2:29" ht="13.5" customHeight="1">
      <c r="B1381" s="98" t="str">
        <f>CONCATENATE("- Periodo: ",INFO!$C$10," a ",INFO!$C$19)</f>
        <v xml:space="preserve">- Periodo: 22/7/2025  a 23/8/2025 </v>
      </c>
      <c r="C1381" s="121"/>
      <c r="D1381" s="121"/>
      <c r="E1381" s="121"/>
      <c r="F1381" s="121"/>
      <c r="G1381" s="121"/>
      <c r="H1381" s="121"/>
      <c r="I1381" s="121"/>
      <c r="J1381" s="121"/>
      <c r="K1381" s="121"/>
      <c r="L1381" s="121"/>
      <c r="M1381" s="121"/>
      <c r="N1381" s="121"/>
      <c r="O1381" s="121"/>
      <c r="P1381" s="121"/>
      <c r="Q1381" s="121"/>
      <c r="R1381" s="121"/>
      <c r="S1381" s="121"/>
      <c r="T1381" s="121"/>
      <c r="U1381" s="121"/>
      <c r="V1381" s="121"/>
      <c r="W1381" s="121"/>
      <c r="X1381" s="121"/>
      <c r="Y1381" s="121"/>
      <c r="Z1381" s="121"/>
      <c r="AA1381" s="121"/>
      <c r="AB1381" s="121"/>
    </row>
    <row r="1382" spans="2:29" ht="13.5" customHeight="1">
      <c r="B1382" s="98" t="str">
        <f>CONCATENATE("- Nr Dias: ",INFO!$C$20)</f>
        <v>- Nr Dias: 33</v>
      </c>
      <c r="C1382" s="121"/>
      <c r="D1382" s="121"/>
      <c r="E1382" s="121"/>
      <c r="F1382" s="121"/>
      <c r="G1382" s="121"/>
      <c r="H1382" s="121"/>
      <c r="I1382" s="121"/>
      <c r="J1382" s="121"/>
      <c r="K1382" s="121"/>
      <c r="L1382" s="121"/>
      <c r="M1382" s="121"/>
      <c r="N1382" s="121"/>
      <c r="O1382" s="121"/>
      <c r="P1382" s="121"/>
      <c r="Q1382" s="121"/>
      <c r="R1382" s="121"/>
      <c r="S1382" s="121"/>
      <c r="T1382" s="121"/>
      <c r="U1382" s="121"/>
      <c r="V1382" s="121"/>
      <c r="W1382" s="121"/>
      <c r="X1382" s="121"/>
      <c r="Y1382" s="121"/>
      <c r="Z1382" s="121"/>
      <c r="AA1382" s="121"/>
      <c r="AB1382" s="121"/>
    </row>
    <row r="1383" spans="2:29" ht="13.5" customHeight="1">
      <c r="B1383" s="98" t="str">
        <f>CONCATENATE("- Valor Estimado: R$ ",INDEX(QSGR!$J$16:$J$11170,AC1376))</f>
        <v xml:space="preserve">- Valor Estimado: R$ </v>
      </c>
      <c r="C1383" s="121"/>
      <c r="D1383" s="121"/>
      <c r="E1383" s="121"/>
      <c r="F1383" s="121"/>
      <c r="G1383" s="121"/>
      <c r="H1383" s="121"/>
      <c r="I1383" s="121"/>
      <c r="J1383" s="121"/>
      <c r="K1383" s="121"/>
      <c r="L1383" s="121"/>
      <c r="M1383" s="121"/>
      <c r="N1383" s="121"/>
      <c r="O1383" s="121"/>
      <c r="P1383" s="121"/>
      <c r="Q1383" s="121"/>
      <c r="R1383" s="121"/>
      <c r="S1383" s="121"/>
      <c r="T1383" s="121"/>
      <c r="U1383" s="121"/>
      <c r="V1383" s="121"/>
      <c r="W1383" s="121"/>
      <c r="X1383" s="121"/>
      <c r="Y1383" s="121"/>
      <c r="Z1383" s="121"/>
      <c r="AA1383" s="121"/>
      <c r="AB1383" s="121"/>
    </row>
    <row r="1384" spans="2:29" ht="13.5" customHeight="1">
      <c r="B1384" s="100"/>
      <c r="C1384" s="121"/>
      <c r="D1384" s="121"/>
      <c r="E1384" s="121"/>
      <c r="F1384" s="121"/>
      <c r="G1384" s="121"/>
      <c r="H1384" s="121"/>
      <c r="I1384" s="121"/>
      <c r="J1384" s="121"/>
      <c r="K1384" s="121"/>
      <c r="L1384" s="121"/>
      <c r="M1384" s="121"/>
      <c r="N1384" s="121"/>
      <c r="O1384" s="121"/>
      <c r="P1384" s="121"/>
      <c r="Q1384" s="121"/>
      <c r="R1384" s="121"/>
      <c r="S1384" s="121"/>
      <c r="T1384" s="121"/>
      <c r="U1384" s="121"/>
      <c r="V1384" s="121"/>
      <c r="W1384" s="121"/>
      <c r="X1384" s="121"/>
      <c r="Y1384" s="121"/>
      <c r="Z1384" s="121"/>
      <c r="AA1384" s="121"/>
      <c r="AB1384" s="121"/>
    </row>
    <row r="1385" spans="2:29" ht="13.5" customHeight="1">
      <c r="B1385" s="98" t="s">
        <v>55</v>
      </c>
      <c r="C1385" s="121"/>
      <c r="D1385" s="121"/>
      <c r="E1385" s="121"/>
      <c r="F1385" s="121"/>
      <c r="G1385" s="121"/>
      <c r="H1385" s="121"/>
      <c r="I1385" s="121"/>
      <c r="J1385" s="121"/>
      <c r="K1385" s="121"/>
      <c r="L1385" s="121"/>
      <c r="M1385" s="121"/>
      <c r="N1385" s="121"/>
      <c r="O1385" s="121"/>
      <c r="P1385" s="121"/>
      <c r="Q1385" s="121"/>
      <c r="R1385" s="121"/>
      <c r="S1385" s="121"/>
      <c r="T1385" s="121"/>
      <c r="U1385" s="121"/>
      <c r="V1385" s="121"/>
      <c r="W1385" s="121"/>
      <c r="X1385" s="121"/>
      <c r="Y1385" s="121"/>
      <c r="Z1385" s="121"/>
      <c r="AA1385" s="121"/>
      <c r="AB1385" s="121"/>
      <c r="AC1385" s="37">
        <f>AC1376+1</f>
        <v>154</v>
      </c>
    </row>
    <row r="1386" spans="2:29" ht="13.5" customHeight="1">
      <c r="B1386" s="99">
        <f>INDEX(QSGR!$B$16:$B$1570,AC1385)</f>
        <v>0</v>
      </c>
      <c r="C1386" s="121"/>
      <c r="D1386" s="121"/>
      <c r="E1386" s="97">
        <f>INDEX(QSGR!$D$16:$D$11170,AC1385)</f>
        <v>0</v>
      </c>
      <c r="F1386" s="121"/>
      <c r="G1386" s="121"/>
      <c r="H1386" s="121"/>
      <c r="I1386" s="121"/>
      <c r="J1386" s="121"/>
      <c r="K1386" s="121"/>
      <c r="L1386" s="121"/>
      <c r="M1386" s="121"/>
      <c r="N1386" s="121"/>
      <c r="O1386" s="121"/>
      <c r="P1386" s="121"/>
      <c r="Q1386" s="121"/>
      <c r="R1386" s="121"/>
      <c r="S1386" s="121"/>
      <c r="T1386" s="121"/>
      <c r="U1386" s="121"/>
      <c r="V1386" s="121"/>
      <c r="W1386" s="121"/>
      <c r="X1386" s="121"/>
      <c r="Y1386" s="121"/>
      <c r="Z1386" s="121"/>
      <c r="AA1386" s="121"/>
      <c r="AB1386" s="121"/>
    </row>
    <row r="1387" spans="2:29" ht="13.5" customHeight="1">
      <c r="B1387" s="96" t="str">
        <f>CONCATENATE("- Evento: ",INFO!$B$22)</f>
        <v>- Evento: PARTICIPAR DA OPERAÇÃO HORUS.</v>
      </c>
      <c r="C1387" s="121"/>
      <c r="D1387" s="121"/>
      <c r="E1387" s="121"/>
      <c r="F1387" s="121"/>
      <c r="G1387" s="121"/>
      <c r="H1387" s="121"/>
      <c r="I1387" s="121"/>
      <c r="J1387" s="121"/>
      <c r="K1387" s="121"/>
      <c r="L1387" s="121"/>
      <c r="M1387" s="121"/>
      <c r="N1387" s="121"/>
      <c r="O1387" s="121"/>
      <c r="P1387" s="121"/>
      <c r="Q1387" s="121"/>
      <c r="R1387" s="121"/>
      <c r="S1387" s="121"/>
      <c r="T1387" s="121"/>
      <c r="U1387" s="121"/>
      <c r="V1387" s="121"/>
      <c r="W1387" s="121"/>
      <c r="X1387" s="121"/>
      <c r="Y1387" s="121"/>
      <c r="Z1387" s="121"/>
      <c r="AA1387" s="121"/>
      <c r="AB1387" s="121"/>
    </row>
    <row r="1388" spans="2:29" ht="13.5" customHeight="1">
      <c r="B1388" s="98" t="str">
        <f>CONCATENATE("- Documento de Solicitação: ",INFO!$B$24)</f>
        <v>- Documento de Solicitação: TESTE AZUL</v>
      </c>
      <c r="C1388" s="121"/>
      <c r="D1388" s="121"/>
      <c r="E1388" s="121"/>
      <c r="F1388" s="121"/>
      <c r="G1388" s="121"/>
      <c r="H1388" s="121"/>
      <c r="I1388" s="121"/>
      <c r="J1388" s="121"/>
      <c r="K1388" s="121"/>
      <c r="L1388" s="121"/>
      <c r="M1388" s="121"/>
      <c r="N1388" s="121"/>
      <c r="O1388" s="121"/>
      <c r="P1388" s="121"/>
      <c r="Q1388" s="121"/>
      <c r="R1388" s="121"/>
      <c r="S1388" s="121"/>
      <c r="T1388" s="121"/>
      <c r="U1388" s="121"/>
      <c r="V1388" s="121"/>
      <c r="W1388" s="121"/>
      <c r="X1388" s="121"/>
      <c r="Y1388" s="121"/>
      <c r="Z1388" s="121"/>
      <c r="AA1388" s="121"/>
      <c r="AB1388" s="121"/>
    </row>
    <row r="1389" spans="2:29" ht="13.5" customHeight="1">
      <c r="B1389" s="98" t="str">
        <f>CONCATENATE("- Local: ",INFO!$C$18)</f>
        <v>- Local: GUAIRA - PR</v>
      </c>
      <c r="C1389" s="121"/>
      <c r="D1389" s="121"/>
      <c r="E1389" s="121"/>
      <c r="F1389" s="121"/>
      <c r="G1389" s="121"/>
      <c r="H1389" s="121"/>
      <c r="I1389" s="121"/>
      <c r="J1389" s="121"/>
      <c r="K1389" s="121"/>
      <c r="L1389" s="121"/>
      <c r="M1389" s="121"/>
      <c r="N1389" s="121"/>
      <c r="O1389" s="121"/>
      <c r="P1389" s="121"/>
      <c r="Q1389" s="121"/>
      <c r="R1389" s="121"/>
      <c r="S1389" s="121"/>
      <c r="T1389" s="121"/>
      <c r="U1389" s="121"/>
      <c r="V1389" s="121"/>
      <c r="W1389" s="121"/>
      <c r="X1389" s="121"/>
      <c r="Y1389" s="121"/>
      <c r="Z1389" s="121"/>
      <c r="AA1389" s="121"/>
      <c r="AB1389" s="121"/>
    </row>
    <row r="1390" spans="2:29" ht="13.5" customHeight="1">
      <c r="B1390" s="98" t="str">
        <f>CONCATENATE("- Periodo: ",INFO!$C$10," a ",INFO!$C$19)</f>
        <v xml:space="preserve">- Periodo: 22/7/2025  a 23/8/2025 </v>
      </c>
      <c r="C1390" s="121"/>
      <c r="D1390" s="121"/>
      <c r="E1390" s="121"/>
      <c r="F1390" s="121"/>
      <c r="G1390" s="121"/>
      <c r="H1390" s="121"/>
      <c r="I1390" s="121"/>
      <c r="J1390" s="121"/>
      <c r="K1390" s="121"/>
      <c r="L1390" s="121"/>
      <c r="M1390" s="121"/>
      <c r="N1390" s="121"/>
      <c r="O1390" s="121"/>
      <c r="P1390" s="121"/>
      <c r="Q1390" s="121"/>
      <c r="R1390" s="121"/>
      <c r="S1390" s="121"/>
      <c r="T1390" s="121"/>
      <c r="U1390" s="121"/>
      <c r="V1390" s="121"/>
      <c r="W1390" s="121"/>
      <c r="X1390" s="121"/>
      <c r="Y1390" s="121"/>
      <c r="Z1390" s="121"/>
      <c r="AA1390" s="121"/>
      <c r="AB1390" s="121"/>
    </row>
    <row r="1391" spans="2:29" ht="13.5" customHeight="1">
      <c r="B1391" s="98" t="str">
        <f>CONCATENATE("- Nr Dias: ",INFO!$C$20)</f>
        <v>- Nr Dias: 33</v>
      </c>
      <c r="C1391" s="121"/>
      <c r="D1391" s="121"/>
      <c r="E1391" s="121"/>
      <c r="F1391" s="121"/>
      <c r="G1391" s="121"/>
      <c r="H1391" s="121"/>
      <c r="I1391" s="121"/>
      <c r="J1391" s="121"/>
      <c r="K1391" s="121"/>
      <c r="L1391" s="121"/>
      <c r="M1391" s="121"/>
      <c r="N1391" s="121"/>
      <c r="O1391" s="121"/>
      <c r="P1391" s="121"/>
      <c r="Q1391" s="121"/>
      <c r="R1391" s="121"/>
      <c r="S1391" s="121"/>
      <c r="T1391" s="121"/>
      <c r="U1391" s="121"/>
      <c r="V1391" s="121"/>
      <c r="W1391" s="121"/>
      <c r="X1391" s="121"/>
      <c r="Y1391" s="121"/>
      <c r="Z1391" s="121"/>
      <c r="AA1391" s="121"/>
      <c r="AB1391" s="121"/>
    </row>
    <row r="1392" spans="2:29" ht="13.5" customHeight="1">
      <c r="B1392" s="98" t="str">
        <f>CONCATENATE("- Valor Estimado: R$ ",INDEX(QSGR!$J$16:$J$11170,AC1385))</f>
        <v xml:space="preserve">- Valor Estimado: R$ </v>
      </c>
      <c r="C1392" s="121"/>
      <c r="D1392" s="121"/>
      <c r="E1392" s="121"/>
      <c r="F1392" s="121"/>
      <c r="G1392" s="121"/>
      <c r="H1392" s="121"/>
      <c r="I1392" s="121"/>
      <c r="J1392" s="121"/>
      <c r="K1392" s="121"/>
      <c r="L1392" s="121"/>
      <c r="M1392" s="121"/>
      <c r="N1392" s="121"/>
      <c r="O1392" s="121"/>
      <c r="P1392" s="121"/>
      <c r="Q1392" s="121"/>
      <c r="R1392" s="121"/>
      <c r="S1392" s="121"/>
      <c r="T1392" s="121"/>
      <c r="U1392" s="121"/>
      <c r="V1392" s="121"/>
      <c r="W1392" s="121"/>
      <c r="X1392" s="121"/>
      <c r="Y1392" s="121"/>
      <c r="Z1392" s="121"/>
      <c r="AA1392" s="121"/>
      <c r="AB1392" s="121"/>
    </row>
    <row r="1393" spans="2:29" ht="13.5" customHeight="1">
      <c r="B1393" s="100"/>
      <c r="C1393" s="121"/>
      <c r="D1393" s="121"/>
      <c r="E1393" s="121"/>
      <c r="F1393" s="121"/>
      <c r="G1393" s="121"/>
      <c r="H1393" s="121"/>
      <c r="I1393" s="121"/>
      <c r="J1393" s="121"/>
      <c r="K1393" s="121"/>
      <c r="L1393" s="121"/>
      <c r="M1393" s="121"/>
      <c r="N1393" s="121"/>
      <c r="O1393" s="121"/>
      <c r="P1393" s="121"/>
      <c r="Q1393" s="121"/>
      <c r="R1393" s="121"/>
      <c r="S1393" s="121"/>
      <c r="T1393" s="121"/>
      <c r="U1393" s="121"/>
      <c r="V1393" s="121"/>
      <c r="W1393" s="121"/>
      <c r="X1393" s="121"/>
      <c r="Y1393" s="121"/>
      <c r="Z1393" s="121"/>
      <c r="AA1393" s="121"/>
      <c r="AB1393" s="121"/>
    </row>
    <row r="1394" spans="2:29" ht="13.5" customHeight="1">
      <c r="B1394" s="98" t="s">
        <v>55</v>
      </c>
      <c r="C1394" s="121"/>
      <c r="D1394" s="121"/>
      <c r="E1394" s="121"/>
      <c r="F1394" s="121"/>
      <c r="G1394" s="121"/>
      <c r="H1394" s="121"/>
      <c r="I1394" s="121"/>
      <c r="J1394" s="121"/>
      <c r="K1394" s="121"/>
      <c r="L1394" s="121"/>
      <c r="M1394" s="121"/>
      <c r="N1394" s="121"/>
      <c r="O1394" s="121"/>
      <c r="P1394" s="121"/>
      <c r="Q1394" s="121"/>
      <c r="R1394" s="121"/>
      <c r="S1394" s="121"/>
      <c r="T1394" s="121"/>
      <c r="U1394" s="121"/>
      <c r="V1394" s="121"/>
      <c r="W1394" s="121"/>
      <c r="X1394" s="121"/>
      <c r="Y1394" s="121"/>
      <c r="Z1394" s="121"/>
      <c r="AA1394" s="121"/>
      <c r="AB1394" s="121"/>
      <c r="AC1394" s="37">
        <f>AC1385+1</f>
        <v>155</v>
      </c>
    </row>
    <row r="1395" spans="2:29" ht="13.5" customHeight="1">
      <c r="B1395" s="99">
        <f>INDEX(QSGR!$B$16:$B$1570,AC1394)</f>
        <v>0</v>
      </c>
      <c r="C1395" s="121"/>
      <c r="D1395" s="121"/>
      <c r="E1395" s="97">
        <f>INDEX(QSGR!$D$16:$D$11170,AC1394)</f>
        <v>0</v>
      </c>
      <c r="F1395" s="121"/>
      <c r="G1395" s="121"/>
      <c r="H1395" s="121"/>
      <c r="I1395" s="121"/>
      <c r="J1395" s="121"/>
      <c r="K1395" s="121"/>
      <c r="L1395" s="121"/>
      <c r="M1395" s="121"/>
      <c r="N1395" s="121"/>
      <c r="O1395" s="121"/>
      <c r="P1395" s="121"/>
      <c r="Q1395" s="121"/>
      <c r="R1395" s="121"/>
      <c r="S1395" s="121"/>
      <c r="T1395" s="121"/>
      <c r="U1395" s="121"/>
      <c r="V1395" s="121"/>
      <c r="W1395" s="121"/>
      <c r="X1395" s="121"/>
      <c r="Y1395" s="121"/>
      <c r="Z1395" s="121"/>
      <c r="AA1395" s="121"/>
      <c r="AB1395" s="121"/>
    </row>
    <row r="1396" spans="2:29" ht="13.5" customHeight="1">
      <c r="B1396" s="96" t="str">
        <f>CONCATENATE("- Evento: ",INFO!$B$22)</f>
        <v>- Evento: PARTICIPAR DA OPERAÇÃO HORUS.</v>
      </c>
      <c r="C1396" s="121"/>
      <c r="D1396" s="121"/>
      <c r="E1396" s="121"/>
      <c r="F1396" s="121"/>
      <c r="G1396" s="121"/>
      <c r="H1396" s="121"/>
      <c r="I1396" s="121"/>
      <c r="J1396" s="121"/>
      <c r="K1396" s="121"/>
      <c r="L1396" s="121"/>
      <c r="M1396" s="121"/>
      <c r="N1396" s="121"/>
      <c r="O1396" s="121"/>
      <c r="P1396" s="121"/>
      <c r="Q1396" s="121"/>
      <c r="R1396" s="121"/>
      <c r="S1396" s="121"/>
      <c r="T1396" s="121"/>
      <c r="U1396" s="121"/>
      <c r="V1396" s="121"/>
      <c r="W1396" s="121"/>
      <c r="X1396" s="121"/>
      <c r="Y1396" s="121"/>
      <c r="Z1396" s="121"/>
      <c r="AA1396" s="121"/>
      <c r="AB1396" s="121"/>
    </row>
    <row r="1397" spans="2:29" ht="13.5" customHeight="1">
      <c r="B1397" s="98" t="str">
        <f>CONCATENATE("- Documento de Solicitação: ",INFO!$B$24)</f>
        <v>- Documento de Solicitação: TESTE AZUL</v>
      </c>
      <c r="C1397" s="121"/>
      <c r="D1397" s="121"/>
      <c r="E1397" s="121"/>
      <c r="F1397" s="121"/>
      <c r="G1397" s="121"/>
      <c r="H1397" s="121"/>
      <c r="I1397" s="121"/>
      <c r="J1397" s="121"/>
      <c r="K1397" s="121"/>
      <c r="L1397" s="121"/>
      <c r="M1397" s="121"/>
      <c r="N1397" s="121"/>
      <c r="O1397" s="121"/>
      <c r="P1397" s="121"/>
      <c r="Q1397" s="121"/>
      <c r="R1397" s="121"/>
      <c r="S1397" s="121"/>
      <c r="T1397" s="121"/>
      <c r="U1397" s="121"/>
      <c r="V1397" s="121"/>
      <c r="W1397" s="121"/>
      <c r="X1397" s="121"/>
      <c r="Y1397" s="121"/>
      <c r="Z1397" s="121"/>
      <c r="AA1397" s="121"/>
      <c r="AB1397" s="121"/>
    </row>
    <row r="1398" spans="2:29" ht="13.5" customHeight="1">
      <c r="B1398" s="98" t="str">
        <f>CONCATENATE("- Local: ",INFO!$C$18)</f>
        <v>- Local: GUAIRA - PR</v>
      </c>
      <c r="C1398" s="121"/>
      <c r="D1398" s="121"/>
      <c r="E1398" s="121"/>
      <c r="F1398" s="121"/>
      <c r="G1398" s="121"/>
      <c r="H1398" s="121"/>
      <c r="I1398" s="121"/>
      <c r="J1398" s="121"/>
      <c r="K1398" s="121"/>
      <c r="L1398" s="121"/>
      <c r="M1398" s="121"/>
      <c r="N1398" s="121"/>
      <c r="O1398" s="121"/>
      <c r="P1398" s="121"/>
      <c r="Q1398" s="121"/>
      <c r="R1398" s="121"/>
      <c r="S1398" s="121"/>
      <c r="T1398" s="121"/>
      <c r="U1398" s="121"/>
      <c r="V1398" s="121"/>
      <c r="W1398" s="121"/>
      <c r="X1398" s="121"/>
      <c r="Y1398" s="121"/>
      <c r="Z1398" s="121"/>
      <c r="AA1398" s="121"/>
      <c r="AB1398" s="121"/>
    </row>
    <row r="1399" spans="2:29" ht="13.5" customHeight="1">
      <c r="B1399" s="98" t="str">
        <f>CONCATENATE("- Periodo: ",INFO!$C$10," a ",INFO!$C$19)</f>
        <v xml:space="preserve">- Periodo: 22/7/2025  a 23/8/2025 </v>
      </c>
      <c r="C1399" s="121"/>
      <c r="D1399" s="121"/>
      <c r="E1399" s="121"/>
      <c r="F1399" s="121"/>
      <c r="G1399" s="121"/>
      <c r="H1399" s="121"/>
      <c r="I1399" s="121"/>
      <c r="J1399" s="121"/>
      <c r="K1399" s="121"/>
      <c r="L1399" s="121"/>
      <c r="M1399" s="121"/>
      <c r="N1399" s="121"/>
      <c r="O1399" s="121"/>
      <c r="P1399" s="121"/>
      <c r="Q1399" s="121"/>
      <c r="R1399" s="121"/>
      <c r="S1399" s="121"/>
      <c r="T1399" s="121"/>
      <c r="U1399" s="121"/>
      <c r="V1399" s="121"/>
      <c r="W1399" s="121"/>
      <c r="X1399" s="121"/>
      <c r="Y1399" s="121"/>
      <c r="Z1399" s="121"/>
      <c r="AA1399" s="121"/>
      <c r="AB1399" s="121"/>
    </row>
    <row r="1400" spans="2:29" ht="13.5" customHeight="1">
      <c r="B1400" s="98" t="str">
        <f>CONCATENATE("- Nr Dias: ",INFO!$C$20)</f>
        <v>- Nr Dias: 33</v>
      </c>
      <c r="C1400" s="121"/>
      <c r="D1400" s="121"/>
      <c r="E1400" s="121"/>
      <c r="F1400" s="121"/>
      <c r="G1400" s="121"/>
      <c r="H1400" s="121"/>
      <c r="I1400" s="121"/>
      <c r="J1400" s="121"/>
      <c r="K1400" s="121"/>
      <c r="L1400" s="121"/>
      <c r="M1400" s="121"/>
      <c r="N1400" s="121"/>
      <c r="O1400" s="121"/>
      <c r="P1400" s="121"/>
      <c r="Q1400" s="121"/>
      <c r="R1400" s="121"/>
      <c r="S1400" s="121"/>
      <c r="T1400" s="121"/>
      <c r="U1400" s="121"/>
      <c r="V1400" s="121"/>
      <c r="W1400" s="121"/>
      <c r="X1400" s="121"/>
      <c r="Y1400" s="121"/>
      <c r="Z1400" s="121"/>
      <c r="AA1400" s="121"/>
      <c r="AB1400" s="121"/>
    </row>
    <row r="1401" spans="2:29" ht="13.5" customHeight="1">
      <c r="B1401" s="98" t="str">
        <f>CONCATENATE("- Valor Estimado: R$ ",INDEX(QSGR!$J$16:$J$11170,AC1394))</f>
        <v xml:space="preserve">- Valor Estimado: R$ </v>
      </c>
      <c r="C1401" s="121"/>
      <c r="D1401" s="121"/>
      <c r="E1401" s="121"/>
      <c r="F1401" s="121"/>
      <c r="G1401" s="121"/>
      <c r="H1401" s="121"/>
      <c r="I1401" s="121"/>
      <c r="J1401" s="121"/>
      <c r="K1401" s="121"/>
      <c r="L1401" s="121"/>
      <c r="M1401" s="121"/>
      <c r="N1401" s="121"/>
      <c r="O1401" s="121"/>
      <c r="P1401" s="121"/>
      <c r="Q1401" s="121"/>
      <c r="R1401" s="121"/>
      <c r="S1401" s="121"/>
      <c r="T1401" s="121"/>
      <c r="U1401" s="121"/>
      <c r="V1401" s="121"/>
      <c r="W1401" s="121"/>
      <c r="X1401" s="121"/>
      <c r="Y1401" s="121"/>
      <c r="Z1401" s="121"/>
      <c r="AA1401" s="121"/>
      <c r="AB1401" s="121"/>
    </row>
    <row r="1402" spans="2:29" ht="13.5" customHeight="1">
      <c r="B1402" s="100"/>
      <c r="C1402" s="121"/>
      <c r="D1402" s="121"/>
      <c r="E1402" s="121"/>
      <c r="F1402" s="121"/>
      <c r="G1402" s="121"/>
      <c r="H1402" s="121"/>
      <c r="I1402" s="121"/>
      <c r="J1402" s="121"/>
      <c r="K1402" s="121"/>
      <c r="L1402" s="121"/>
      <c r="M1402" s="121"/>
      <c r="N1402" s="121"/>
      <c r="O1402" s="121"/>
      <c r="P1402" s="121"/>
      <c r="Q1402" s="121"/>
      <c r="R1402" s="121"/>
      <c r="S1402" s="121"/>
      <c r="T1402" s="121"/>
      <c r="U1402" s="121"/>
      <c r="V1402" s="121"/>
      <c r="W1402" s="121"/>
      <c r="X1402" s="121"/>
      <c r="Y1402" s="121"/>
      <c r="Z1402" s="121"/>
      <c r="AA1402" s="121"/>
      <c r="AB1402" s="121"/>
    </row>
    <row r="1403" spans="2:29" ht="13.5" customHeight="1">
      <c r="B1403" s="98" t="s">
        <v>55</v>
      </c>
      <c r="C1403" s="121"/>
      <c r="D1403" s="121"/>
      <c r="E1403" s="121"/>
      <c r="F1403" s="121"/>
      <c r="G1403" s="121"/>
      <c r="H1403" s="121"/>
      <c r="I1403" s="121"/>
      <c r="J1403" s="121"/>
      <c r="K1403" s="121"/>
      <c r="L1403" s="121"/>
      <c r="M1403" s="121"/>
      <c r="N1403" s="121"/>
      <c r="O1403" s="121"/>
      <c r="P1403" s="121"/>
      <c r="Q1403" s="121"/>
      <c r="R1403" s="121"/>
      <c r="S1403" s="121"/>
      <c r="T1403" s="121"/>
      <c r="U1403" s="121"/>
      <c r="V1403" s="121"/>
      <c r="W1403" s="121"/>
      <c r="X1403" s="121"/>
      <c r="Y1403" s="121"/>
      <c r="Z1403" s="121"/>
      <c r="AA1403" s="121"/>
      <c r="AB1403" s="121"/>
      <c r="AC1403" s="37">
        <f>AC1394+1</f>
        <v>156</v>
      </c>
    </row>
    <row r="1404" spans="2:29" ht="13.5" customHeight="1">
      <c r="B1404" s="99">
        <f>INDEX(QSGR!$B$16:$B$1570,AC1403)</f>
        <v>0</v>
      </c>
      <c r="C1404" s="121"/>
      <c r="D1404" s="121"/>
      <c r="E1404" s="97">
        <f>INDEX(QSGR!$D$16:$D$11170,AC1403)</f>
        <v>0</v>
      </c>
      <c r="F1404" s="121"/>
      <c r="G1404" s="121"/>
      <c r="H1404" s="121"/>
      <c r="I1404" s="121"/>
      <c r="J1404" s="121"/>
      <c r="K1404" s="121"/>
      <c r="L1404" s="121"/>
      <c r="M1404" s="121"/>
      <c r="N1404" s="121"/>
      <c r="O1404" s="121"/>
      <c r="P1404" s="121"/>
      <c r="Q1404" s="121"/>
      <c r="R1404" s="121"/>
      <c r="S1404" s="121"/>
      <c r="T1404" s="121"/>
      <c r="U1404" s="121"/>
      <c r="V1404" s="121"/>
      <c r="W1404" s="121"/>
      <c r="X1404" s="121"/>
      <c r="Y1404" s="121"/>
      <c r="Z1404" s="121"/>
      <c r="AA1404" s="121"/>
      <c r="AB1404" s="121"/>
    </row>
    <row r="1405" spans="2:29" ht="13.5" customHeight="1">
      <c r="B1405" s="96" t="str">
        <f>CONCATENATE("- Evento: ",INFO!$B$22)</f>
        <v>- Evento: PARTICIPAR DA OPERAÇÃO HORUS.</v>
      </c>
      <c r="C1405" s="121"/>
      <c r="D1405" s="121"/>
      <c r="E1405" s="121"/>
      <c r="F1405" s="121"/>
      <c r="G1405" s="121"/>
      <c r="H1405" s="121"/>
      <c r="I1405" s="121"/>
      <c r="J1405" s="121"/>
      <c r="K1405" s="121"/>
      <c r="L1405" s="121"/>
      <c r="M1405" s="121"/>
      <c r="N1405" s="121"/>
      <c r="O1405" s="121"/>
      <c r="P1405" s="121"/>
      <c r="Q1405" s="121"/>
      <c r="R1405" s="121"/>
      <c r="S1405" s="121"/>
      <c r="T1405" s="121"/>
      <c r="U1405" s="121"/>
      <c r="V1405" s="121"/>
      <c r="W1405" s="121"/>
      <c r="X1405" s="121"/>
      <c r="Y1405" s="121"/>
      <c r="Z1405" s="121"/>
      <c r="AA1405" s="121"/>
      <c r="AB1405" s="121"/>
    </row>
    <row r="1406" spans="2:29" ht="13.5" customHeight="1">
      <c r="B1406" s="98" t="str">
        <f>CONCATENATE("- Documento de Solicitação: ",INFO!$B$24)</f>
        <v>- Documento de Solicitação: TESTE AZUL</v>
      </c>
      <c r="C1406" s="121"/>
      <c r="D1406" s="121"/>
      <c r="E1406" s="121"/>
      <c r="F1406" s="121"/>
      <c r="G1406" s="121"/>
      <c r="H1406" s="121"/>
      <c r="I1406" s="121"/>
      <c r="J1406" s="121"/>
      <c r="K1406" s="121"/>
      <c r="L1406" s="121"/>
      <c r="M1406" s="121"/>
      <c r="N1406" s="121"/>
      <c r="O1406" s="121"/>
      <c r="P1406" s="121"/>
      <c r="Q1406" s="121"/>
      <c r="R1406" s="121"/>
      <c r="S1406" s="121"/>
      <c r="T1406" s="121"/>
      <c r="U1406" s="121"/>
      <c r="V1406" s="121"/>
      <c r="W1406" s="121"/>
      <c r="X1406" s="121"/>
      <c r="Y1406" s="121"/>
      <c r="Z1406" s="121"/>
      <c r="AA1406" s="121"/>
      <c r="AB1406" s="121"/>
    </row>
    <row r="1407" spans="2:29" ht="13.5" customHeight="1">
      <c r="B1407" s="98" t="str">
        <f>CONCATENATE("- Local: ",INFO!$C$18)</f>
        <v>- Local: GUAIRA - PR</v>
      </c>
      <c r="C1407" s="121"/>
      <c r="D1407" s="121"/>
      <c r="E1407" s="121"/>
      <c r="F1407" s="121"/>
      <c r="G1407" s="121"/>
      <c r="H1407" s="121"/>
      <c r="I1407" s="121"/>
      <c r="J1407" s="121"/>
      <c r="K1407" s="121"/>
      <c r="L1407" s="121"/>
      <c r="M1407" s="121"/>
      <c r="N1407" s="121"/>
      <c r="O1407" s="121"/>
      <c r="P1407" s="121"/>
      <c r="Q1407" s="121"/>
      <c r="R1407" s="121"/>
      <c r="S1407" s="121"/>
      <c r="T1407" s="121"/>
      <c r="U1407" s="121"/>
      <c r="V1407" s="121"/>
      <c r="W1407" s="121"/>
      <c r="X1407" s="121"/>
      <c r="Y1407" s="121"/>
      <c r="Z1407" s="121"/>
      <c r="AA1407" s="121"/>
      <c r="AB1407" s="121"/>
    </row>
    <row r="1408" spans="2:29" ht="13.5" customHeight="1">
      <c r="B1408" s="98" t="str">
        <f>CONCATENATE("- Periodo: ",INFO!$C$10," a ",INFO!$C$19)</f>
        <v xml:space="preserve">- Periodo: 22/7/2025  a 23/8/2025 </v>
      </c>
      <c r="C1408" s="121"/>
      <c r="D1408" s="121"/>
      <c r="E1408" s="121"/>
      <c r="F1408" s="121"/>
      <c r="G1408" s="121"/>
      <c r="H1408" s="121"/>
      <c r="I1408" s="121"/>
      <c r="J1408" s="121"/>
      <c r="K1408" s="121"/>
      <c r="L1408" s="121"/>
      <c r="M1408" s="121"/>
      <c r="N1408" s="121"/>
      <c r="O1408" s="121"/>
      <c r="P1408" s="121"/>
      <c r="Q1408" s="121"/>
      <c r="R1408" s="121"/>
      <c r="S1408" s="121"/>
      <c r="T1408" s="121"/>
      <c r="U1408" s="121"/>
      <c r="V1408" s="121"/>
      <c r="W1408" s="121"/>
      <c r="X1408" s="121"/>
      <c r="Y1408" s="121"/>
      <c r="Z1408" s="121"/>
      <c r="AA1408" s="121"/>
      <c r="AB1408" s="121"/>
    </row>
    <row r="1409" spans="2:29" ht="13.5" customHeight="1">
      <c r="B1409" s="98" t="str">
        <f>CONCATENATE("- Nr Dias: ",INFO!$C$20)</f>
        <v>- Nr Dias: 33</v>
      </c>
      <c r="C1409" s="121"/>
      <c r="D1409" s="121"/>
      <c r="E1409" s="121"/>
      <c r="F1409" s="121"/>
      <c r="G1409" s="121"/>
      <c r="H1409" s="121"/>
      <c r="I1409" s="121"/>
      <c r="J1409" s="121"/>
      <c r="K1409" s="121"/>
      <c r="L1409" s="121"/>
      <c r="M1409" s="121"/>
      <c r="N1409" s="121"/>
      <c r="O1409" s="121"/>
      <c r="P1409" s="121"/>
      <c r="Q1409" s="121"/>
      <c r="R1409" s="121"/>
      <c r="S1409" s="121"/>
      <c r="T1409" s="121"/>
      <c r="U1409" s="121"/>
      <c r="V1409" s="121"/>
      <c r="W1409" s="121"/>
      <c r="X1409" s="121"/>
      <c r="Y1409" s="121"/>
      <c r="Z1409" s="121"/>
      <c r="AA1409" s="121"/>
      <c r="AB1409" s="121"/>
    </row>
    <row r="1410" spans="2:29" ht="13.5" customHeight="1">
      <c r="B1410" s="98" t="str">
        <f>CONCATENATE("- Valor Estimado: R$ ",INDEX(QSGR!$J$16:$J$11170,AC1403))</f>
        <v xml:space="preserve">- Valor Estimado: R$ </v>
      </c>
      <c r="C1410" s="121"/>
      <c r="D1410" s="121"/>
      <c r="E1410" s="121"/>
      <c r="F1410" s="121"/>
      <c r="G1410" s="121"/>
      <c r="H1410" s="121"/>
      <c r="I1410" s="121"/>
      <c r="J1410" s="121"/>
      <c r="K1410" s="121"/>
      <c r="L1410" s="121"/>
      <c r="M1410" s="121"/>
      <c r="N1410" s="121"/>
      <c r="O1410" s="121"/>
      <c r="P1410" s="121"/>
      <c r="Q1410" s="121"/>
      <c r="R1410" s="121"/>
      <c r="S1410" s="121"/>
      <c r="T1410" s="121"/>
      <c r="U1410" s="121"/>
      <c r="V1410" s="121"/>
      <c r="W1410" s="121"/>
      <c r="X1410" s="121"/>
      <c r="Y1410" s="121"/>
      <c r="Z1410" s="121"/>
      <c r="AA1410" s="121"/>
      <c r="AB1410" s="121"/>
    </row>
    <row r="1411" spans="2:29" ht="13.5" customHeight="1">
      <c r="B1411" s="100"/>
      <c r="C1411" s="121"/>
      <c r="D1411" s="121"/>
      <c r="E1411" s="121"/>
      <c r="F1411" s="121"/>
      <c r="G1411" s="121"/>
      <c r="H1411" s="121"/>
      <c r="I1411" s="121"/>
      <c r="J1411" s="121"/>
      <c r="K1411" s="121"/>
      <c r="L1411" s="121"/>
      <c r="M1411" s="121"/>
      <c r="N1411" s="121"/>
      <c r="O1411" s="121"/>
      <c r="P1411" s="121"/>
      <c r="Q1411" s="121"/>
      <c r="R1411" s="121"/>
      <c r="S1411" s="121"/>
      <c r="T1411" s="121"/>
      <c r="U1411" s="121"/>
      <c r="V1411" s="121"/>
      <c r="W1411" s="121"/>
      <c r="X1411" s="121"/>
      <c r="Y1411" s="121"/>
      <c r="Z1411" s="121"/>
      <c r="AA1411" s="121"/>
      <c r="AB1411" s="121"/>
    </row>
    <row r="1412" spans="2:29" ht="13.5" customHeight="1">
      <c r="B1412" s="98" t="s">
        <v>55</v>
      </c>
      <c r="C1412" s="121"/>
      <c r="D1412" s="121"/>
      <c r="E1412" s="121"/>
      <c r="F1412" s="121"/>
      <c r="G1412" s="121"/>
      <c r="H1412" s="121"/>
      <c r="I1412" s="121"/>
      <c r="J1412" s="121"/>
      <c r="K1412" s="121"/>
      <c r="L1412" s="121"/>
      <c r="M1412" s="121"/>
      <c r="N1412" s="121"/>
      <c r="O1412" s="121"/>
      <c r="P1412" s="121"/>
      <c r="Q1412" s="121"/>
      <c r="R1412" s="121"/>
      <c r="S1412" s="121"/>
      <c r="T1412" s="121"/>
      <c r="U1412" s="121"/>
      <c r="V1412" s="121"/>
      <c r="W1412" s="121"/>
      <c r="X1412" s="121"/>
      <c r="Y1412" s="121"/>
      <c r="Z1412" s="121"/>
      <c r="AA1412" s="121"/>
      <c r="AB1412" s="121"/>
      <c r="AC1412" s="37">
        <f>AC1403+1</f>
        <v>157</v>
      </c>
    </row>
    <row r="1413" spans="2:29" ht="13.5" customHeight="1">
      <c r="B1413" s="99">
        <f>INDEX(QSGR!$B$16:$B$1570,AC1412)</f>
        <v>0</v>
      </c>
      <c r="C1413" s="121"/>
      <c r="D1413" s="121"/>
      <c r="E1413" s="97">
        <f>INDEX(QSGR!$D$16:$D$11170,AC1412)</f>
        <v>0</v>
      </c>
      <c r="F1413" s="121"/>
      <c r="G1413" s="121"/>
      <c r="H1413" s="121"/>
      <c r="I1413" s="121"/>
      <c r="J1413" s="121"/>
      <c r="K1413" s="121"/>
      <c r="L1413" s="121"/>
      <c r="M1413" s="121"/>
      <c r="N1413" s="121"/>
      <c r="O1413" s="121"/>
      <c r="P1413" s="121"/>
      <c r="Q1413" s="121"/>
      <c r="R1413" s="121"/>
      <c r="S1413" s="121"/>
      <c r="T1413" s="121"/>
      <c r="U1413" s="121"/>
      <c r="V1413" s="121"/>
      <c r="W1413" s="121"/>
      <c r="X1413" s="121"/>
      <c r="Y1413" s="121"/>
      <c r="Z1413" s="121"/>
      <c r="AA1413" s="121"/>
      <c r="AB1413" s="121"/>
    </row>
    <row r="1414" spans="2:29" ht="13.5" customHeight="1">
      <c r="B1414" s="96" t="str">
        <f>CONCATENATE("- Evento: ",INFO!$B$22)</f>
        <v>- Evento: PARTICIPAR DA OPERAÇÃO HORUS.</v>
      </c>
      <c r="C1414" s="121"/>
      <c r="D1414" s="121"/>
      <c r="E1414" s="121"/>
      <c r="F1414" s="121"/>
      <c r="G1414" s="121"/>
      <c r="H1414" s="121"/>
      <c r="I1414" s="121"/>
      <c r="J1414" s="121"/>
      <c r="K1414" s="121"/>
      <c r="L1414" s="121"/>
      <c r="M1414" s="121"/>
      <c r="N1414" s="121"/>
      <c r="O1414" s="121"/>
      <c r="P1414" s="121"/>
      <c r="Q1414" s="121"/>
      <c r="R1414" s="121"/>
      <c r="S1414" s="121"/>
      <c r="T1414" s="121"/>
      <c r="U1414" s="121"/>
      <c r="V1414" s="121"/>
      <c r="W1414" s="121"/>
      <c r="X1414" s="121"/>
      <c r="Y1414" s="121"/>
      <c r="Z1414" s="121"/>
      <c r="AA1414" s="121"/>
      <c r="AB1414" s="121"/>
    </row>
    <row r="1415" spans="2:29" ht="13.5" customHeight="1">
      <c r="B1415" s="98" t="str">
        <f>CONCATENATE("- Documento de Solicitação: ",INFO!$B$24)</f>
        <v>- Documento de Solicitação: TESTE AZUL</v>
      </c>
      <c r="C1415" s="121"/>
      <c r="D1415" s="121"/>
      <c r="E1415" s="121"/>
      <c r="F1415" s="121"/>
      <c r="G1415" s="121"/>
      <c r="H1415" s="121"/>
      <c r="I1415" s="121"/>
      <c r="J1415" s="121"/>
      <c r="K1415" s="121"/>
      <c r="L1415" s="121"/>
      <c r="M1415" s="121"/>
      <c r="N1415" s="121"/>
      <c r="O1415" s="121"/>
      <c r="P1415" s="121"/>
      <c r="Q1415" s="121"/>
      <c r="R1415" s="121"/>
      <c r="S1415" s="121"/>
      <c r="T1415" s="121"/>
      <c r="U1415" s="121"/>
      <c r="V1415" s="121"/>
      <c r="W1415" s="121"/>
      <c r="X1415" s="121"/>
      <c r="Y1415" s="121"/>
      <c r="Z1415" s="121"/>
      <c r="AA1415" s="121"/>
      <c r="AB1415" s="121"/>
    </row>
    <row r="1416" spans="2:29" ht="13.5" customHeight="1">
      <c r="B1416" s="98" t="str">
        <f>CONCATENATE("- Local: ",INFO!$C$18)</f>
        <v>- Local: GUAIRA - PR</v>
      </c>
      <c r="C1416" s="121"/>
      <c r="D1416" s="121"/>
      <c r="E1416" s="121"/>
      <c r="F1416" s="121"/>
      <c r="G1416" s="121"/>
      <c r="H1416" s="121"/>
      <c r="I1416" s="121"/>
      <c r="J1416" s="121"/>
      <c r="K1416" s="121"/>
      <c r="L1416" s="121"/>
      <c r="M1416" s="121"/>
      <c r="N1416" s="121"/>
      <c r="O1416" s="121"/>
      <c r="P1416" s="121"/>
      <c r="Q1416" s="121"/>
      <c r="R1416" s="121"/>
      <c r="S1416" s="121"/>
      <c r="T1416" s="121"/>
      <c r="U1416" s="121"/>
      <c r="V1416" s="121"/>
      <c r="W1416" s="121"/>
      <c r="X1416" s="121"/>
      <c r="Y1416" s="121"/>
      <c r="Z1416" s="121"/>
      <c r="AA1416" s="121"/>
      <c r="AB1416" s="121"/>
    </row>
    <row r="1417" spans="2:29" ht="13.5" customHeight="1">
      <c r="B1417" s="98" t="str">
        <f>CONCATENATE("- Periodo: ",INFO!$C$10," a ",INFO!$C$19)</f>
        <v xml:space="preserve">- Periodo: 22/7/2025  a 23/8/2025 </v>
      </c>
      <c r="C1417" s="121"/>
      <c r="D1417" s="121"/>
      <c r="E1417" s="121"/>
      <c r="F1417" s="121"/>
      <c r="G1417" s="121"/>
      <c r="H1417" s="121"/>
      <c r="I1417" s="121"/>
      <c r="J1417" s="121"/>
      <c r="K1417" s="121"/>
      <c r="L1417" s="121"/>
      <c r="M1417" s="121"/>
      <c r="N1417" s="121"/>
      <c r="O1417" s="121"/>
      <c r="P1417" s="121"/>
      <c r="Q1417" s="121"/>
      <c r="R1417" s="121"/>
      <c r="S1417" s="121"/>
      <c r="T1417" s="121"/>
      <c r="U1417" s="121"/>
      <c r="V1417" s="121"/>
      <c r="W1417" s="121"/>
      <c r="X1417" s="121"/>
      <c r="Y1417" s="121"/>
      <c r="Z1417" s="121"/>
      <c r="AA1417" s="121"/>
      <c r="AB1417" s="121"/>
    </row>
    <row r="1418" spans="2:29" ht="13.5" customHeight="1">
      <c r="B1418" s="98" t="str">
        <f>CONCATENATE("- Nr Dias: ",INFO!$C$20)</f>
        <v>- Nr Dias: 33</v>
      </c>
      <c r="C1418" s="121"/>
      <c r="D1418" s="121"/>
      <c r="E1418" s="121"/>
      <c r="F1418" s="121"/>
      <c r="G1418" s="121"/>
      <c r="H1418" s="121"/>
      <c r="I1418" s="121"/>
      <c r="J1418" s="121"/>
      <c r="K1418" s="121"/>
      <c r="L1418" s="121"/>
      <c r="M1418" s="121"/>
      <c r="N1418" s="121"/>
      <c r="O1418" s="121"/>
      <c r="P1418" s="121"/>
      <c r="Q1418" s="121"/>
      <c r="R1418" s="121"/>
      <c r="S1418" s="121"/>
      <c r="T1418" s="121"/>
      <c r="U1418" s="121"/>
      <c r="V1418" s="121"/>
      <c r="W1418" s="121"/>
      <c r="X1418" s="121"/>
      <c r="Y1418" s="121"/>
      <c r="Z1418" s="121"/>
      <c r="AA1418" s="121"/>
      <c r="AB1418" s="121"/>
    </row>
    <row r="1419" spans="2:29" ht="13.5" customHeight="1">
      <c r="B1419" s="98" t="str">
        <f>CONCATENATE("- Valor Estimado: R$ ",INDEX(QSGR!$J$16:$J$11170,AC1412))</f>
        <v xml:space="preserve">- Valor Estimado: R$ </v>
      </c>
      <c r="C1419" s="121"/>
      <c r="D1419" s="121"/>
      <c r="E1419" s="121"/>
      <c r="F1419" s="121"/>
      <c r="G1419" s="121"/>
      <c r="H1419" s="121"/>
      <c r="I1419" s="121"/>
      <c r="J1419" s="121"/>
      <c r="K1419" s="121"/>
      <c r="L1419" s="121"/>
      <c r="M1419" s="121"/>
      <c r="N1419" s="121"/>
      <c r="O1419" s="121"/>
      <c r="P1419" s="121"/>
      <c r="Q1419" s="121"/>
      <c r="R1419" s="121"/>
      <c r="S1419" s="121"/>
      <c r="T1419" s="121"/>
      <c r="U1419" s="121"/>
      <c r="V1419" s="121"/>
      <c r="W1419" s="121"/>
      <c r="X1419" s="121"/>
      <c r="Y1419" s="121"/>
      <c r="Z1419" s="121"/>
      <c r="AA1419" s="121"/>
      <c r="AB1419" s="121"/>
    </row>
    <row r="1420" spans="2:29" ht="13.5" customHeight="1">
      <c r="B1420" s="100"/>
      <c r="C1420" s="121"/>
      <c r="D1420" s="121"/>
      <c r="E1420" s="121"/>
      <c r="F1420" s="121"/>
      <c r="G1420" s="121"/>
      <c r="H1420" s="121"/>
      <c r="I1420" s="121"/>
      <c r="J1420" s="121"/>
      <c r="K1420" s="121"/>
      <c r="L1420" s="121"/>
      <c r="M1420" s="121"/>
      <c r="N1420" s="121"/>
      <c r="O1420" s="121"/>
      <c r="P1420" s="121"/>
      <c r="Q1420" s="121"/>
      <c r="R1420" s="121"/>
      <c r="S1420" s="121"/>
      <c r="T1420" s="121"/>
      <c r="U1420" s="121"/>
      <c r="V1420" s="121"/>
      <c r="W1420" s="121"/>
      <c r="X1420" s="121"/>
      <c r="Y1420" s="121"/>
      <c r="Z1420" s="121"/>
      <c r="AA1420" s="121"/>
      <c r="AB1420" s="121"/>
    </row>
    <row r="1421" spans="2:29" ht="13.5" customHeight="1">
      <c r="B1421" s="98" t="s">
        <v>55</v>
      </c>
      <c r="C1421" s="121"/>
      <c r="D1421" s="121"/>
      <c r="E1421" s="121"/>
      <c r="F1421" s="121"/>
      <c r="G1421" s="121"/>
      <c r="H1421" s="121"/>
      <c r="I1421" s="121"/>
      <c r="J1421" s="121"/>
      <c r="K1421" s="121"/>
      <c r="L1421" s="121"/>
      <c r="M1421" s="121"/>
      <c r="N1421" s="121"/>
      <c r="O1421" s="121"/>
      <c r="P1421" s="121"/>
      <c r="Q1421" s="121"/>
      <c r="R1421" s="121"/>
      <c r="S1421" s="121"/>
      <c r="T1421" s="121"/>
      <c r="U1421" s="121"/>
      <c r="V1421" s="121"/>
      <c r="W1421" s="121"/>
      <c r="X1421" s="121"/>
      <c r="Y1421" s="121"/>
      <c r="Z1421" s="121"/>
      <c r="AA1421" s="121"/>
      <c r="AB1421" s="121"/>
      <c r="AC1421" s="37">
        <f>AC1412+1</f>
        <v>158</v>
      </c>
    </row>
    <row r="1422" spans="2:29" ht="13.5" customHeight="1">
      <c r="B1422" s="99">
        <f>INDEX(QSGR!$B$16:$B$1570,AC1421)</f>
        <v>0</v>
      </c>
      <c r="C1422" s="121"/>
      <c r="D1422" s="121"/>
      <c r="E1422" s="97">
        <f>INDEX(QSGR!$D$16:$D$11170,AC1421)</f>
        <v>0</v>
      </c>
      <c r="F1422" s="121"/>
      <c r="G1422" s="121"/>
      <c r="H1422" s="121"/>
      <c r="I1422" s="121"/>
      <c r="J1422" s="121"/>
      <c r="K1422" s="121"/>
      <c r="L1422" s="121"/>
      <c r="M1422" s="121"/>
      <c r="N1422" s="121"/>
      <c r="O1422" s="121"/>
      <c r="P1422" s="121"/>
      <c r="Q1422" s="121"/>
      <c r="R1422" s="121"/>
      <c r="S1422" s="121"/>
      <c r="T1422" s="121"/>
      <c r="U1422" s="121"/>
      <c r="V1422" s="121"/>
      <c r="W1422" s="121"/>
      <c r="X1422" s="121"/>
      <c r="Y1422" s="121"/>
      <c r="Z1422" s="121"/>
      <c r="AA1422" s="121"/>
      <c r="AB1422" s="121"/>
    </row>
    <row r="1423" spans="2:29" ht="13.5" customHeight="1">
      <c r="B1423" s="96" t="str">
        <f>CONCATENATE("- Evento: ",INFO!$B$22)</f>
        <v>- Evento: PARTICIPAR DA OPERAÇÃO HORUS.</v>
      </c>
      <c r="C1423" s="121"/>
      <c r="D1423" s="121"/>
      <c r="E1423" s="121"/>
      <c r="F1423" s="121"/>
      <c r="G1423" s="121"/>
      <c r="H1423" s="121"/>
      <c r="I1423" s="121"/>
      <c r="J1423" s="121"/>
      <c r="K1423" s="121"/>
      <c r="L1423" s="121"/>
      <c r="M1423" s="121"/>
      <c r="N1423" s="121"/>
      <c r="O1423" s="121"/>
      <c r="P1423" s="121"/>
      <c r="Q1423" s="121"/>
      <c r="R1423" s="121"/>
      <c r="S1423" s="121"/>
      <c r="T1423" s="121"/>
      <c r="U1423" s="121"/>
      <c r="V1423" s="121"/>
      <c r="W1423" s="121"/>
      <c r="X1423" s="121"/>
      <c r="Y1423" s="121"/>
      <c r="Z1423" s="121"/>
      <c r="AA1423" s="121"/>
      <c r="AB1423" s="121"/>
    </row>
    <row r="1424" spans="2:29" ht="13.5" customHeight="1">
      <c r="B1424" s="98" t="str">
        <f>CONCATENATE("- Documento de Solicitação: ",INFO!$B$24)</f>
        <v>- Documento de Solicitação: TESTE AZUL</v>
      </c>
      <c r="C1424" s="121"/>
      <c r="D1424" s="121"/>
      <c r="E1424" s="121"/>
      <c r="F1424" s="121"/>
      <c r="G1424" s="121"/>
      <c r="H1424" s="121"/>
      <c r="I1424" s="121"/>
      <c r="J1424" s="121"/>
      <c r="K1424" s="121"/>
      <c r="L1424" s="121"/>
      <c r="M1424" s="121"/>
      <c r="N1424" s="121"/>
      <c r="O1424" s="121"/>
      <c r="P1424" s="121"/>
      <c r="Q1424" s="121"/>
      <c r="R1424" s="121"/>
      <c r="S1424" s="121"/>
      <c r="T1424" s="121"/>
      <c r="U1424" s="121"/>
      <c r="V1424" s="121"/>
      <c r="W1424" s="121"/>
      <c r="X1424" s="121"/>
      <c r="Y1424" s="121"/>
      <c r="Z1424" s="121"/>
      <c r="AA1424" s="121"/>
      <c r="AB1424" s="121"/>
    </row>
    <row r="1425" spans="2:29" ht="13.5" customHeight="1">
      <c r="B1425" s="98" t="str">
        <f>CONCATENATE("- Local: ",INFO!$C$18)</f>
        <v>- Local: GUAIRA - PR</v>
      </c>
      <c r="C1425" s="121"/>
      <c r="D1425" s="121"/>
      <c r="E1425" s="121"/>
      <c r="F1425" s="121"/>
      <c r="G1425" s="121"/>
      <c r="H1425" s="121"/>
      <c r="I1425" s="121"/>
      <c r="J1425" s="121"/>
      <c r="K1425" s="121"/>
      <c r="L1425" s="121"/>
      <c r="M1425" s="121"/>
      <c r="N1425" s="121"/>
      <c r="O1425" s="121"/>
      <c r="P1425" s="121"/>
      <c r="Q1425" s="121"/>
      <c r="R1425" s="121"/>
      <c r="S1425" s="121"/>
      <c r="T1425" s="121"/>
      <c r="U1425" s="121"/>
      <c r="V1425" s="121"/>
      <c r="W1425" s="121"/>
      <c r="X1425" s="121"/>
      <c r="Y1425" s="121"/>
      <c r="Z1425" s="121"/>
      <c r="AA1425" s="121"/>
      <c r="AB1425" s="121"/>
    </row>
    <row r="1426" spans="2:29" ht="13.5" customHeight="1">
      <c r="B1426" s="98" t="str">
        <f>CONCATENATE("- Periodo: ",INFO!$C$10," a ",INFO!$C$19)</f>
        <v xml:space="preserve">- Periodo: 22/7/2025  a 23/8/2025 </v>
      </c>
      <c r="C1426" s="121"/>
      <c r="D1426" s="121"/>
      <c r="E1426" s="121"/>
      <c r="F1426" s="121"/>
      <c r="G1426" s="121"/>
      <c r="H1426" s="121"/>
      <c r="I1426" s="121"/>
      <c r="J1426" s="121"/>
      <c r="K1426" s="121"/>
      <c r="L1426" s="121"/>
      <c r="M1426" s="121"/>
      <c r="N1426" s="121"/>
      <c r="O1426" s="121"/>
      <c r="P1426" s="121"/>
      <c r="Q1426" s="121"/>
      <c r="R1426" s="121"/>
      <c r="S1426" s="121"/>
      <c r="T1426" s="121"/>
      <c r="U1426" s="121"/>
      <c r="V1426" s="121"/>
      <c r="W1426" s="121"/>
      <c r="X1426" s="121"/>
      <c r="Y1426" s="121"/>
      <c r="Z1426" s="121"/>
      <c r="AA1426" s="121"/>
      <c r="AB1426" s="121"/>
    </row>
    <row r="1427" spans="2:29" ht="13.5" customHeight="1">
      <c r="B1427" s="98" t="str">
        <f>CONCATENATE("- Nr Dias: ",INFO!$C$20)</f>
        <v>- Nr Dias: 33</v>
      </c>
      <c r="C1427" s="121"/>
      <c r="D1427" s="121"/>
      <c r="E1427" s="121"/>
      <c r="F1427" s="121"/>
      <c r="G1427" s="121"/>
      <c r="H1427" s="121"/>
      <c r="I1427" s="121"/>
      <c r="J1427" s="121"/>
      <c r="K1427" s="121"/>
      <c r="L1427" s="121"/>
      <c r="M1427" s="121"/>
      <c r="N1427" s="121"/>
      <c r="O1427" s="121"/>
      <c r="P1427" s="121"/>
      <c r="Q1427" s="121"/>
      <c r="R1427" s="121"/>
      <c r="S1427" s="121"/>
      <c r="T1427" s="121"/>
      <c r="U1427" s="121"/>
      <c r="V1427" s="121"/>
      <c r="W1427" s="121"/>
      <c r="X1427" s="121"/>
      <c r="Y1427" s="121"/>
      <c r="Z1427" s="121"/>
      <c r="AA1427" s="121"/>
      <c r="AB1427" s="121"/>
    </row>
    <row r="1428" spans="2:29" ht="13.5" customHeight="1">
      <c r="B1428" s="98" t="str">
        <f>CONCATENATE("- Valor Estimado: R$ ",INDEX(QSGR!$J$16:$J$11170,AC1421))</f>
        <v xml:space="preserve">- Valor Estimado: R$ </v>
      </c>
      <c r="C1428" s="121"/>
      <c r="D1428" s="121"/>
      <c r="E1428" s="121"/>
      <c r="F1428" s="121"/>
      <c r="G1428" s="121"/>
      <c r="H1428" s="121"/>
      <c r="I1428" s="121"/>
      <c r="J1428" s="121"/>
      <c r="K1428" s="121"/>
      <c r="L1428" s="121"/>
      <c r="M1428" s="121"/>
      <c r="N1428" s="121"/>
      <c r="O1428" s="121"/>
      <c r="P1428" s="121"/>
      <c r="Q1428" s="121"/>
      <c r="R1428" s="121"/>
      <c r="S1428" s="121"/>
      <c r="T1428" s="121"/>
      <c r="U1428" s="121"/>
      <c r="V1428" s="121"/>
      <c r="W1428" s="121"/>
      <c r="X1428" s="121"/>
      <c r="Y1428" s="121"/>
      <c r="Z1428" s="121"/>
      <c r="AA1428" s="121"/>
      <c r="AB1428" s="121"/>
    </row>
    <row r="1429" spans="2:29" ht="13.5" customHeight="1">
      <c r="B1429" s="100"/>
      <c r="C1429" s="121"/>
      <c r="D1429" s="121"/>
      <c r="E1429" s="121"/>
      <c r="F1429" s="121"/>
      <c r="G1429" s="121"/>
      <c r="H1429" s="121"/>
      <c r="I1429" s="121"/>
      <c r="J1429" s="121"/>
      <c r="K1429" s="121"/>
      <c r="L1429" s="121"/>
      <c r="M1429" s="121"/>
      <c r="N1429" s="121"/>
      <c r="O1429" s="121"/>
      <c r="P1429" s="121"/>
      <c r="Q1429" s="121"/>
      <c r="R1429" s="121"/>
      <c r="S1429" s="121"/>
      <c r="T1429" s="121"/>
      <c r="U1429" s="121"/>
      <c r="V1429" s="121"/>
      <c r="W1429" s="121"/>
      <c r="X1429" s="121"/>
      <c r="Y1429" s="121"/>
      <c r="Z1429" s="121"/>
      <c r="AA1429" s="121"/>
      <c r="AB1429" s="121"/>
    </row>
    <row r="1430" spans="2:29" ht="13.5" customHeight="1">
      <c r="B1430" s="98" t="s">
        <v>55</v>
      </c>
      <c r="C1430" s="121"/>
      <c r="D1430" s="121"/>
      <c r="E1430" s="121"/>
      <c r="F1430" s="121"/>
      <c r="G1430" s="121"/>
      <c r="H1430" s="121"/>
      <c r="I1430" s="121"/>
      <c r="J1430" s="121"/>
      <c r="K1430" s="121"/>
      <c r="L1430" s="121"/>
      <c r="M1430" s="121"/>
      <c r="N1430" s="121"/>
      <c r="O1430" s="121"/>
      <c r="P1430" s="121"/>
      <c r="Q1430" s="121"/>
      <c r="R1430" s="121"/>
      <c r="S1430" s="121"/>
      <c r="T1430" s="121"/>
      <c r="U1430" s="121"/>
      <c r="V1430" s="121"/>
      <c r="W1430" s="121"/>
      <c r="X1430" s="121"/>
      <c r="Y1430" s="121"/>
      <c r="Z1430" s="121"/>
      <c r="AA1430" s="121"/>
      <c r="AB1430" s="121"/>
      <c r="AC1430" s="37">
        <f>AC1421+1</f>
        <v>159</v>
      </c>
    </row>
    <row r="1431" spans="2:29" ht="13.5" customHeight="1">
      <c r="B1431" s="99">
        <f>INDEX(QSGR!$B$16:$B$1570,AC1430)</f>
        <v>0</v>
      </c>
      <c r="C1431" s="121"/>
      <c r="D1431" s="121"/>
      <c r="E1431" s="97">
        <f>INDEX(QSGR!$D$16:$D$11170,AC1430)</f>
        <v>0</v>
      </c>
      <c r="F1431" s="121"/>
      <c r="G1431" s="121"/>
      <c r="H1431" s="121"/>
      <c r="I1431" s="121"/>
      <c r="J1431" s="121"/>
      <c r="K1431" s="121"/>
      <c r="L1431" s="121"/>
      <c r="M1431" s="121"/>
      <c r="N1431" s="121"/>
      <c r="O1431" s="121"/>
      <c r="P1431" s="121"/>
      <c r="Q1431" s="121"/>
      <c r="R1431" s="121"/>
      <c r="S1431" s="121"/>
      <c r="T1431" s="121"/>
      <c r="U1431" s="121"/>
      <c r="V1431" s="121"/>
      <c r="W1431" s="121"/>
      <c r="X1431" s="121"/>
      <c r="Y1431" s="121"/>
      <c r="Z1431" s="121"/>
      <c r="AA1431" s="121"/>
      <c r="AB1431" s="121"/>
    </row>
    <row r="1432" spans="2:29" ht="13.5" customHeight="1">
      <c r="B1432" s="96" t="str">
        <f>CONCATENATE("- Evento: ",INFO!$B$22)</f>
        <v>- Evento: PARTICIPAR DA OPERAÇÃO HORUS.</v>
      </c>
      <c r="C1432" s="121"/>
      <c r="D1432" s="121"/>
      <c r="E1432" s="121"/>
      <c r="F1432" s="121"/>
      <c r="G1432" s="121"/>
      <c r="H1432" s="121"/>
      <c r="I1432" s="121"/>
      <c r="J1432" s="121"/>
      <c r="K1432" s="121"/>
      <c r="L1432" s="121"/>
      <c r="M1432" s="121"/>
      <c r="N1432" s="121"/>
      <c r="O1432" s="121"/>
      <c r="P1432" s="121"/>
      <c r="Q1432" s="121"/>
      <c r="R1432" s="121"/>
      <c r="S1432" s="121"/>
      <c r="T1432" s="121"/>
      <c r="U1432" s="121"/>
      <c r="V1432" s="121"/>
      <c r="W1432" s="121"/>
      <c r="X1432" s="121"/>
      <c r="Y1432" s="121"/>
      <c r="Z1432" s="121"/>
      <c r="AA1432" s="121"/>
      <c r="AB1432" s="121"/>
    </row>
    <row r="1433" spans="2:29" ht="13.5" customHeight="1">
      <c r="B1433" s="98" t="str">
        <f>CONCATENATE("- Documento de Solicitação: ",INFO!$B$24)</f>
        <v>- Documento de Solicitação: TESTE AZUL</v>
      </c>
      <c r="C1433" s="121"/>
      <c r="D1433" s="121"/>
      <c r="E1433" s="121"/>
      <c r="F1433" s="121"/>
      <c r="G1433" s="121"/>
      <c r="H1433" s="121"/>
      <c r="I1433" s="121"/>
      <c r="J1433" s="121"/>
      <c r="K1433" s="121"/>
      <c r="L1433" s="121"/>
      <c r="M1433" s="121"/>
      <c r="N1433" s="121"/>
      <c r="O1433" s="121"/>
      <c r="P1433" s="121"/>
      <c r="Q1433" s="121"/>
      <c r="R1433" s="121"/>
      <c r="S1433" s="121"/>
      <c r="T1433" s="121"/>
      <c r="U1433" s="121"/>
      <c r="V1433" s="121"/>
      <c r="W1433" s="121"/>
      <c r="X1433" s="121"/>
      <c r="Y1433" s="121"/>
      <c r="Z1433" s="121"/>
      <c r="AA1433" s="121"/>
      <c r="AB1433" s="121"/>
    </row>
    <row r="1434" spans="2:29" ht="13.5" customHeight="1">
      <c r="B1434" s="98" t="str">
        <f>CONCATENATE("- Local: ",INFO!$C$18)</f>
        <v>- Local: GUAIRA - PR</v>
      </c>
      <c r="C1434" s="121"/>
      <c r="D1434" s="121"/>
      <c r="E1434" s="121"/>
      <c r="F1434" s="121"/>
      <c r="G1434" s="121"/>
      <c r="H1434" s="121"/>
      <c r="I1434" s="121"/>
      <c r="J1434" s="121"/>
      <c r="K1434" s="121"/>
      <c r="L1434" s="121"/>
      <c r="M1434" s="121"/>
      <c r="N1434" s="121"/>
      <c r="O1434" s="121"/>
      <c r="P1434" s="121"/>
      <c r="Q1434" s="121"/>
      <c r="R1434" s="121"/>
      <c r="S1434" s="121"/>
      <c r="T1434" s="121"/>
      <c r="U1434" s="121"/>
      <c r="V1434" s="121"/>
      <c r="W1434" s="121"/>
      <c r="X1434" s="121"/>
      <c r="Y1434" s="121"/>
      <c r="Z1434" s="121"/>
      <c r="AA1434" s="121"/>
      <c r="AB1434" s="121"/>
    </row>
    <row r="1435" spans="2:29" ht="13.5" customHeight="1">
      <c r="B1435" s="98" t="str">
        <f>CONCATENATE("- Periodo: ",INFO!$C$10," a ",INFO!$C$19)</f>
        <v xml:space="preserve">- Periodo: 22/7/2025  a 23/8/2025 </v>
      </c>
      <c r="C1435" s="121"/>
      <c r="D1435" s="121"/>
      <c r="E1435" s="121"/>
      <c r="F1435" s="121"/>
      <c r="G1435" s="121"/>
      <c r="H1435" s="121"/>
      <c r="I1435" s="121"/>
      <c r="J1435" s="121"/>
      <c r="K1435" s="121"/>
      <c r="L1435" s="121"/>
      <c r="M1435" s="121"/>
      <c r="N1435" s="121"/>
      <c r="O1435" s="121"/>
      <c r="P1435" s="121"/>
      <c r="Q1435" s="121"/>
      <c r="R1435" s="121"/>
      <c r="S1435" s="121"/>
      <c r="T1435" s="121"/>
      <c r="U1435" s="121"/>
      <c r="V1435" s="121"/>
      <c r="W1435" s="121"/>
      <c r="X1435" s="121"/>
      <c r="Y1435" s="121"/>
      <c r="Z1435" s="121"/>
      <c r="AA1435" s="121"/>
      <c r="AB1435" s="121"/>
    </row>
    <row r="1436" spans="2:29" ht="13.5" customHeight="1">
      <c r="B1436" s="98" t="str">
        <f>CONCATENATE("- Nr Dias: ",INFO!$C$20)</f>
        <v>- Nr Dias: 33</v>
      </c>
      <c r="C1436" s="121"/>
      <c r="D1436" s="121"/>
      <c r="E1436" s="121"/>
      <c r="F1436" s="121"/>
      <c r="G1436" s="121"/>
      <c r="H1436" s="121"/>
      <c r="I1436" s="121"/>
      <c r="J1436" s="121"/>
      <c r="K1436" s="121"/>
      <c r="L1436" s="121"/>
      <c r="M1436" s="121"/>
      <c r="N1436" s="121"/>
      <c r="O1436" s="121"/>
      <c r="P1436" s="121"/>
      <c r="Q1436" s="121"/>
      <c r="R1436" s="121"/>
      <c r="S1436" s="121"/>
      <c r="T1436" s="121"/>
      <c r="U1436" s="121"/>
      <c r="V1436" s="121"/>
      <c r="W1436" s="121"/>
      <c r="X1436" s="121"/>
      <c r="Y1436" s="121"/>
      <c r="Z1436" s="121"/>
      <c r="AA1436" s="121"/>
      <c r="AB1436" s="121"/>
    </row>
    <row r="1437" spans="2:29" ht="13.5" customHeight="1">
      <c r="B1437" s="98" t="str">
        <f>CONCATENATE("- Valor Estimado: R$ ",INDEX(QSGR!$J$16:$J$11170,AC1430))</f>
        <v xml:space="preserve">- Valor Estimado: R$ </v>
      </c>
      <c r="C1437" s="121"/>
      <c r="D1437" s="121"/>
      <c r="E1437" s="121"/>
      <c r="F1437" s="121"/>
      <c r="G1437" s="121"/>
      <c r="H1437" s="121"/>
      <c r="I1437" s="121"/>
      <c r="J1437" s="121"/>
      <c r="K1437" s="121"/>
      <c r="L1437" s="121"/>
      <c r="M1437" s="121"/>
      <c r="N1437" s="121"/>
      <c r="O1437" s="121"/>
      <c r="P1437" s="121"/>
      <c r="Q1437" s="121"/>
      <c r="R1437" s="121"/>
      <c r="S1437" s="121"/>
      <c r="T1437" s="121"/>
      <c r="U1437" s="121"/>
      <c r="V1437" s="121"/>
      <c r="W1437" s="121"/>
      <c r="X1437" s="121"/>
      <c r="Y1437" s="121"/>
      <c r="Z1437" s="121"/>
      <c r="AA1437" s="121"/>
      <c r="AB1437" s="121"/>
    </row>
    <row r="1438" spans="2:29" ht="13.5" customHeight="1">
      <c r="B1438" s="100"/>
      <c r="C1438" s="121"/>
      <c r="D1438" s="121"/>
      <c r="E1438" s="121"/>
      <c r="F1438" s="121"/>
      <c r="G1438" s="121"/>
      <c r="H1438" s="121"/>
      <c r="I1438" s="121"/>
      <c r="J1438" s="121"/>
      <c r="K1438" s="121"/>
      <c r="L1438" s="121"/>
      <c r="M1438" s="121"/>
      <c r="N1438" s="121"/>
      <c r="O1438" s="121"/>
      <c r="P1438" s="121"/>
      <c r="Q1438" s="121"/>
      <c r="R1438" s="121"/>
      <c r="S1438" s="121"/>
      <c r="T1438" s="121"/>
      <c r="U1438" s="121"/>
      <c r="V1438" s="121"/>
      <c r="W1438" s="121"/>
      <c r="X1438" s="121"/>
      <c r="Y1438" s="121"/>
      <c r="Z1438" s="121"/>
      <c r="AA1438" s="121"/>
      <c r="AB1438" s="121"/>
    </row>
    <row r="1439" spans="2:29" ht="13.5" customHeight="1">
      <c r="B1439" s="98" t="s">
        <v>55</v>
      </c>
      <c r="C1439" s="121"/>
      <c r="D1439" s="121"/>
      <c r="E1439" s="121"/>
      <c r="F1439" s="121"/>
      <c r="G1439" s="121"/>
      <c r="H1439" s="121"/>
      <c r="I1439" s="121"/>
      <c r="J1439" s="121"/>
      <c r="K1439" s="121"/>
      <c r="L1439" s="121"/>
      <c r="M1439" s="121"/>
      <c r="N1439" s="121"/>
      <c r="O1439" s="121"/>
      <c r="P1439" s="121"/>
      <c r="Q1439" s="121"/>
      <c r="R1439" s="121"/>
      <c r="S1439" s="121"/>
      <c r="T1439" s="121"/>
      <c r="U1439" s="121"/>
      <c r="V1439" s="121"/>
      <c r="W1439" s="121"/>
      <c r="X1439" s="121"/>
      <c r="Y1439" s="121"/>
      <c r="Z1439" s="121"/>
      <c r="AA1439" s="121"/>
      <c r="AB1439" s="121"/>
      <c r="AC1439" s="37">
        <f>AC1430+1</f>
        <v>160</v>
      </c>
    </row>
    <row r="1440" spans="2:29" ht="13.5" customHeight="1">
      <c r="B1440" s="99">
        <f>INDEX(QSGR!$B$16:$B$1570,AC1439)</f>
        <v>0</v>
      </c>
      <c r="C1440" s="121"/>
      <c r="D1440" s="121"/>
      <c r="E1440" s="97">
        <f>INDEX(QSGR!$D$16:$D$11170,AC1439)</f>
        <v>0</v>
      </c>
      <c r="F1440" s="121"/>
      <c r="G1440" s="121"/>
      <c r="H1440" s="121"/>
      <c r="I1440" s="121"/>
      <c r="J1440" s="121"/>
      <c r="K1440" s="121"/>
      <c r="L1440" s="121"/>
      <c r="M1440" s="121"/>
      <c r="N1440" s="121"/>
      <c r="O1440" s="121"/>
      <c r="P1440" s="121"/>
      <c r="Q1440" s="121"/>
      <c r="R1440" s="121"/>
      <c r="S1440" s="121"/>
      <c r="T1440" s="121"/>
      <c r="U1440" s="121"/>
      <c r="V1440" s="121"/>
      <c r="W1440" s="121"/>
      <c r="X1440" s="121"/>
      <c r="Y1440" s="121"/>
      <c r="Z1440" s="121"/>
      <c r="AA1440" s="121"/>
      <c r="AB1440" s="121"/>
    </row>
    <row r="1441" spans="2:29" ht="13.5" customHeight="1">
      <c r="B1441" s="96" t="str">
        <f>CONCATENATE("- Evento: ",INFO!$B$22)</f>
        <v>- Evento: PARTICIPAR DA OPERAÇÃO HORUS.</v>
      </c>
      <c r="C1441" s="121"/>
      <c r="D1441" s="121"/>
      <c r="E1441" s="121"/>
      <c r="F1441" s="121"/>
      <c r="G1441" s="121"/>
      <c r="H1441" s="121"/>
      <c r="I1441" s="121"/>
      <c r="J1441" s="121"/>
      <c r="K1441" s="121"/>
      <c r="L1441" s="121"/>
      <c r="M1441" s="121"/>
      <c r="N1441" s="121"/>
      <c r="O1441" s="121"/>
      <c r="P1441" s="121"/>
      <c r="Q1441" s="121"/>
      <c r="R1441" s="121"/>
      <c r="S1441" s="121"/>
      <c r="T1441" s="121"/>
      <c r="U1441" s="121"/>
      <c r="V1441" s="121"/>
      <c r="W1441" s="121"/>
      <c r="X1441" s="121"/>
      <c r="Y1441" s="121"/>
      <c r="Z1441" s="121"/>
      <c r="AA1441" s="121"/>
      <c r="AB1441" s="121"/>
    </row>
    <row r="1442" spans="2:29" ht="13.5" customHeight="1">
      <c r="B1442" s="98" t="str">
        <f>CONCATENATE("- Documento de Solicitação: ",INFO!$B$24)</f>
        <v>- Documento de Solicitação: TESTE AZUL</v>
      </c>
      <c r="C1442" s="121"/>
      <c r="D1442" s="121"/>
      <c r="E1442" s="121"/>
      <c r="F1442" s="121"/>
      <c r="G1442" s="121"/>
      <c r="H1442" s="121"/>
      <c r="I1442" s="121"/>
      <c r="J1442" s="121"/>
      <c r="K1442" s="121"/>
      <c r="L1442" s="121"/>
      <c r="M1442" s="121"/>
      <c r="N1442" s="121"/>
      <c r="O1442" s="121"/>
      <c r="P1442" s="121"/>
      <c r="Q1442" s="121"/>
      <c r="R1442" s="121"/>
      <c r="S1442" s="121"/>
      <c r="T1442" s="121"/>
      <c r="U1442" s="121"/>
      <c r="V1442" s="121"/>
      <c r="W1442" s="121"/>
      <c r="X1442" s="121"/>
      <c r="Y1442" s="121"/>
      <c r="Z1442" s="121"/>
      <c r="AA1442" s="121"/>
      <c r="AB1442" s="121"/>
    </row>
    <row r="1443" spans="2:29" ht="13.5" customHeight="1">
      <c r="B1443" s="98" t="str">
        <f>CONCATENATE("- Local: ",INFO!$C$18)</f>
        <v>- Local: GUAIRA - PR</v>
      </c>
      <c r="C1443" s="121"/>
      <c r="D1443" s="121"/>
      <c r="E1443" s="121"/>
      <c r="F1443" s="121"/>
      <c r="G1443" s="121"/>
      <c r="H1443" s="121"/>
      <c r="I1443" s="121"/>
      <c r="J1443" s="121"/>
      <c r="K1443" s="121"/>
      <c r="L1443" s="121"/>
      <c r="M1443" s="121"/>
      <c r="N1443" s="121"/>
      <c r="O1443" s="121"/>
      <c r="P1443" s="121"/>
      <c r="Q1443" s="121"/>
      <c r="R1443" s="121"/>
      <c r="S1443" s="121"/>
      <c r="T1443" s="121"/>
      <c r="U1443" s="121"/>
      <c r="V1443" s="121"/>
      <c r="W1443" s="121"/>
      <c r="X1443" s="121"/>
      <c r="Y1443" s="121"/>
      <c r="Z1443" s="121"/>
      <c r="AA1443" s="121"/>
      <c r="AB1443" s="121"/>
    </row>
    <row r="1444" spans="2:29" ht="13.5" customHeight="1">
      <c r="B1444" s="98" t="str">
        <f>CONCATENATE("- Periodo: ",INFO!$C$10," a ",INFO!$C$19)</f>
        <v xml:space="preserve">- Periodo: 22/7/2025  a 23/8/2025 </v>
      </c>
      <c r="C1444" s="121"/>
      <c r="D1444" s="121"/>
      <c r="E1444" s="121"/>
      <c r="F1444" s="121"/>
      <c r="G1444" s="121"/>
      <c r="H1444" s="121"/>
      <c r="I1444" s="121"/>
      <c r="J1444" s="121"/>
      <c r="K1444" s="121"/>
      <c r="L1444" s="121"/>
      <c r="M1444" s="121"/>
      <c r="N1444" s="121"/>
      <c r="O1444" s="121"/>
      <c r="P1444" s="121"/>
      <c r="Q1444" s="121"/>
      <c r="R1444" s="121"/>
      <c r="S1444" s="121"/>
      <c r="T1444" s="121"/>
      <c r="U1444" s="121"/>
      <c r="V1444" s="121"/>
      <c r="W1444" s="121"/>
      <c r="X1444" s="121"/>
      <c r="Y1444" s="121"/>
      <c r="Z1444" s="121"/>
      <c r="AA1444" s="121"/>
      <c r="AB1444" s="121"/>
    </row>
    <row r="1445" spans="2:29" ht="13.5" customHeight="1">
      <c r="B1445" s="98" t="str">
        <f>CONCATENATE("- Nr Dias: ",INFO!$C$20)</f>
        <v>- Nr Dias: 33</v>
      </c>
      <c r="C1445" s="121"/>
      <c r="D1445" s="121"/>
      <c r="E1445" s="121"/>
      <c r="F1445" s="121"/>
      <c r="G1445" s="121"/>
      <c r="H1445" s="121"/>
      <c r="I1445" s="121"/>
      <c r="J1445" s="121"/>
      <c r="K1445" s="121"/>
      <c r="L1445" s="121"/>
      <c r="M1445" s="121"/>
      <c r="N1445" s="121"/>
      <c r="O1445" s="121"/>
      <c r="P1445" s="121"/>
      <c r="Q1445" s="121"/>
      <c r="R1445" s="121"/>
      <c r="S1445" s="121"/>
      <c r="T1445" s="121"/>
      <c r="U1445" s="121"/>
      <c r="V1445" s="121"/>
      <c r="W1445" s="121"/>
      <c r="X1445" s="121"/>
      <c r="Y1445" s="121"/>
      <c r="Z1445" s="121"/>
      <c r="AA1445" s="121"/>
      <c r="AB1445" s="121"/>
    </row>
    <row r="1446" spans="2:29" ht="13.5" customHeight="1">
      <c r="B1446" s="98" t="str">
        <f>CONCATENATE("- Valor Estimado: R$ ",INDEX(QSGR!$J$16:$J$11170,AC1439))</f>
        <v xml:space="preserve">- Valor Estimado: R$ </v>
      </c>
      <c r="C1446" s="121"/>
      <c r="D1446" s="121"/>
      <c r="E1446" s="121"/>
      <c r="F1446" s="121"/>
      <c r="G1446" s="121"/>
      <c r="H1446" s="121"/>
      <c r="I1446" s="121"/>
      <c r="J1446" s="121"/>
      <c r="K1446" s="121"/>
      <c r="L1446" s="121"/>
      <c r="M1446" s="121"/>
      <c r="N1446" s="121"/>
      <c r="O1446" s="121"/>
      <c r="P1446" s="121"/>
      <c r="Q1446" s="121"/>
      <c r="R1446" s="121"/>
      <c r="S1446" s="121"/>
      <c r="T1446" s="121"/>
      <c r="U1446" s="121"/>
      <c r="V1446" s="121"/>
      <c r="W1446" s="121"/>
      <c r="X1446" s="121"/>
      <c r="Y1446" s="121"/>
      <c r="Z1446" s="121"/>
      <c r="AA1446" s="121"/>
      <c r="AB1446" s="121"/>
    </row>
    <row r="1447" spans="2:29" ht="13.5" customHeight="1">
      <c r="B1447" s="100"/>
      <c r="C1447" s="121"/>
      <c r="D1447" s="121"/>
      <c r="E1447" s="121"/>
      <c r="F1447" s="121"/>
      <c r="G1447" s="121"/>
      <c r="H1447" s="121"/>
      <c r="I1447" s="121"/>
      <c r="J1447" s="121"/>
      <c r="K1447" s="121"/>
      <c r="L1447" s="121"/>
      <c r="M1447" s="121"/>
      <c r="N1447" s="121"/>
      <c r="O1447" s="121"/>
      <c r="P1447" s="121"/>
      <c r="Q1447" s="121"/>
      <c r="R1447" s="121"/>
      <c r="S1447" s="121"/>
      <c r="T1447" s="121"/>
      <c r="U1447" s="121"/>
      <c r="V1447" s="121"/>
      <c r="W1447" s="121"/>
      <c r="X1447" s="121"/>
      <c r="Y1447" s="121"/>
      <c r="Z1447" s="121"/>
      <c r="AA1447" s="121"/>
      <c r="AB1447" s="121"/>
    </row>
    <row r="1448" spans="2:29" ht="13.5" customHeight="1">
      <c r="B1448" s="98" t="s">
        <v>55</v>
      </c>
      <c r="C1448" s="121"/>
      <c r="D1448" s="121"/>
      <c r="E1448" s="121"/>
      <c r="F1448" s="121"/>
      <c r="G1448" s="121"/>
      <c r="H1448" s="121"/>
      <c r="I1448" s="121"/>
      <c r="J1448" s="121"/>
      <c r="K1448" s="121"/>
      <c r="L1448" s="121"/>
      <c r="M1448" s="121"/>
      <c r="N1448" s="121"/>
      <c r="O1448" s="121"/>
      <c r="P1448" s="121"/>
      <c r="Q1448" s="121"/>
      <c r="R1448" s="121"/>
      <c r="S1448" s="121"/>
      <c r="T1448" s="121"/>
      <c r="U1448" s="121"/>
      <c r="V1448" s="121"/>
      <c r="W1448" s="121"/>
      <c r="X1448" s="121"/>
      <c r="Y1448" s="121"/>
      <c r="Z1448" s="121"/>
      <c r="AA1448" s="121"/>
      <c r="AB1448" s="121"/>
      <c r="AC1448" s="37">
        <f>AC1439+1</f>
        <v>161</v>
      </c>
    </row>
    <row r="1449" spans="2:29" ht="13.5" customHeight="1">
      <c r="B1449" s="99">
        <f>INDEX(QSGR!$B$16:$B$1570,AC1448)</f>
        <v>0</v>
      </c>
      <c r="C1449" s="121"/>
      <c r="D1449" s="121"/>
      <c r="E1449" s="97">
        <f>INDEX(QSGR!$D$16:$D$11170,AC1448)</f>
        <v>0</v>
      </c>
      <c r="F1449" s="121"/>
      <c r="G1449" s="121"/>
      <c r="H1449" s="121"/>
      <c r="I1449" s="121"/>
      <c r="J1449" s="121"/>
      <c r="K1449" s="121"/>
      <c r="L1449" s="121"/>
      <c r="M1449" s="121"/>
      <c r="N1449" s="121"/>
      <c r="O1449" s="121"/>
      <c r="P1449" s="121"/>
      <c r="Q1449" s="121"/>
      <c r="R1449" s="121"/>
      <c r="S1449" s="121"/>
      <c r="T1449" s="121"/>
      <c r="U1449" s="121"/>
      <c r="V1449" s="121"/>
      <c r="W1449" s="121"/>
      <c r="X1449" s="121"/>
      <c r="Y1449" s="121"/>
      <c r="Z1449" s="121"/>
      <c r="AA1449" s="121"/>
      <c r="AB1449" s="121"/>
    </row>
    <row r="1450" spans="2:29" ht="13.5" customHeight="1">
      <c r="B1450" s="96" t="str">
        <f>CONCATENATE("- Evento: ",INFO!$B$22)</f>
        <v>- Evento: PARTICIPAR DA OPERAÇÃO HORUS.</v>
      </c>
      <c r="C1450" s="121"/>
      <c r="D1450" s="121"/>
      <c r="E1450" s="121"/>
      <c r="F1450" s="121"/>
      <c r="G1450" s="121"/>
      <c r="H1450" s="121"/>
      <c r="I1450" s="121"/>
      <c r="J1450" s="121"/>
      <c r="K1450" s="121"/>
      <c r="L1450" s="121"/>
      <c r="M1450" s="121"/>
      <c r="N1450" s="121"/>
      <c r="O1450" s="121"/>
      <c r="P1450" s="121"/>
      <c r="Q1450" s="121"/>
      <c r="R1450" s="121"/>
      <c r="S1450" s="121"/>
      <c r="T1450" s="121"/>
      <c r="U1450" s="121"/>
      <c r="V1450" s="121"/>
      <c r="W1450" s="121"/>
      <c r="X1450" s="121"/>
      <c r="Y1450" s="121"/>
      <c r="Z1450" s="121"/>
      <c r="AA1450" s="121"/>
      <c r="AB1450" s="121"/>
    </row>
    <row r="1451" spans="2:29" ht="13.5" customHeight="1">
      <c r="B1451" s="98" t="str">
        <f>CONCATENATE("- Documento de Solicitação: ",INFO!$B$24)</f>
        <v>- Documento de Solicitação: TESTE AZUL</v>
      </c>
      <c r="C1451" s="121"/>
      <c r="D1451" s="121"/>
      <c r="E1451" s="121"/>
      <c r="F1451" s="121"/>
      <c r="G1451" s="121"/>
      <c r="H1451" s="121"/>
      <c r="I1451" s="121"/>
      <c r="J1451" s="121"/>
      <c r="K1451" s="121"/>
      <c r="L1451" s="121"/>
      <c r="M1451" s="121"/>
      <c r="N1451" s="121"/>
      <c r="O1451" s="121"/>
      <c r="P1451" s="121"/>
      <c r="Q1451" s="121"/>
      <c r="R1451" s="121"/>
      <c r="S1451" s="121"/>
      <c r="T1451" s="121"/>
      <c r="U1451" s="121"/>
      <c r="V1451" s="121"/>
      <c r="W1451" s="121"/>
      <c r="X1451" s="121"/>
      <c r="Y1451" s="121"/>
      <c r="Z1451" s="121"/>
      <c r="AA1451" s="121"/>
      <c r="AB1451" s="121"/>
    </row>
    <row r="1452" spans="2:29" ht="13.5" customHeight="1">
      <c r="B1452" s="98" t="str">
        <f>CONCATENATE("- Local: ",INFO!$C$18)</f>
        <v>- Local: GUAIRA - PR</v>
      </c>
      <c r="C1452" s="121"/>
      <c r="D1452" s="121"/>
      <c r="E1452" s="121"/>
      <c r="F1452" s="121"/>
      <c r="G1452" s="121"/>
      <c r="H1452" s="121"/>
      <c r="I1452" s="121"/>
      <c r="J1452" s="121"/>
      <c r="K1452" s="121"/>
      <c r="L1452" s="121"/>
      <c r="M1452" s="121"/>
      <c r="N1452" s="121"/>
      <c r="O1452" s="121"/>
      <c r="P1452" s="121"/>
      <c r="Q1452" s="121"/>
      <c r="R1452" s="121"/>
      <c r="S1452" s="121"/>
      <c r="T1452" s="121"/>
      <c r="U1452" s="121"/>
      <c r="V1452" s="121"/>
      <c r="W1452" s="121"/>
      <c r="X1452" s="121"/>
      <c r="Y1452" s="121"/>
      <c r="Z1452" s="121"/>
      <c r="AA1452" s="121"/>
      <c r="AB1452" s="121"/>
    </row>
    <row r="1453" spans="2:29" ht="13.5" customHeight="1">
      <c r="B1453" s="98" t="str">
        <f>CONCATENATE("- Periodo: ",INFO!$C$10," a ",INFO!$C$19)</f>
        <v xml:space="preserve">- Periodo: 22/7/2025  a 23/8/2025 </v>
      </c>
      <c r="C1453" s="121"/>
      <c r="D1453" s="121"/>
      <c r="E1453" s="121"/>
      <c r="F1453" s="121"/>
      <c r="G1453" s="121"/>
      <c r="H1453" s="121"/>
      <c r="I1453" s="121"/>
      <c r="J1453" s="121"/>
      <c r="K1453" s="121"/>
      <c r="L1453" s="121"/>
      <c r="M1453" s="121"/>
      <c r="N1453" s="121"/>
      <c r="O1453" s="121"/>
      <c r="P1453" s="121"/>
      <c r="Q1453" s="121"/>
      <c r="R1453" s="121"/>
      <c r="S1453" s="121"/>
      <c r="T1453" s="121"/>
      <c r="U1453" s="121"/>
      <c r="V1453" s="121"/>
      <c r="W1453" s="121"/>
      <c r="X1453" s="121"/>
      <c r="Y1453" s="121"/>
      <c r="Z1453" s="121"/>
      <c r="AA1453" s="121"/>
      <c r="AB1453" s="121"/>
    </row>
    <row r="1454" spans="2:29" ht="13.5" customHeight="1">
      <c r="B1454" s="98" t="str">
        <f>CONCATENATE("- Nr Dias: ",INFO!$C$20)</f>
        <v>- Nr Dias: 33</v>
      </c>
      <c r="C1454" s="121"/>
      <c r="D1454" s="121"/>
      <c r="E1454" s="121"/>
      <c r="F1454" s="121"/>
      <c r="G1454" s="121"/>
      <c r="H1454" s="121"/>
      <c r="I1454" s="121"/>
      <c r="J1454" s="121"/>
      <c r="K1454" s="121"/>
      <c r="L1454" s="121"/>
      <c r="M1454" s="121"/>
      <c r="N1454" s="121"/>
      <c r="O1454" s="121"/>
      <c r="P1454" s="121"/>
      <c r="Q1454" s="121"/>
      <c r="R1454" s="121"/>
      <c r="S1454" s="121"/>
      <c r="T1454" s="121"/>
      <c r="U1454" s="121"/>
      <c r="V1454" s="121"/>
      <c r="W1454" s="121"/>
      <c r="X1454" s="121"/>
      <c r="Y1454" s="121"/>
      <c r="Z1454" s="121"/>
      <c r="AA1454" s="121"/>
      <c r="AB1454" s="121"/>
    </row>
    <row r="1455" spans="2:29" ht="13.5" customHeight="1">
      <c r="B1455" s="98" t="str">
        <f>CONCATENATE("- Valor Estimado: R$ ",INDEX(QSGR!$J$16:$J$11170,AC1448))</f>
        <v xml:space="preserve">- Valor Estimado: R$ </v>
      </c>
      <c r="C1455" s="121"/>
      <c r="D1455" s="121"/>
      <c r="E1455" s="121"/>
      <c r="F1455" s="121"/>
      <c r="G1455" s="121"/>
      <c r="H1455" s="121"/>
      <c r="I1455" s="121"/>
      <c r="J1455" s="121"/>
      <c r="K1455" s="121"/>
      <c r="L1455" s="121"/>
      <c r="M1455" s="121"/>
      <c r="N1455" s="121"/>
      <c r="O1455" s="121"/>
      <c r="P1455" s="121"/>
      <c r="Q1455" s="121"/>
      <c r="R1455" s="121"/>
      <c r="S1455" s="121"/>
      <c r="T1455" s="121"/>
      <c r="U1455" s="121"/>
      <c r="V1455" s="121"/>
      <c r="W1455" s="121"/>
      <c r="X1455" s="121"/>
      <c r="Y1455" s="121"/>
      <c r="Z1455" s="121"/>
      <c r="AA1455" s="121"/>
      <c r="AB1455" s="121"/>
    </row>
    <row r="1456" spans="2:29" ht="13.5" customHeight="1">
      <c r="B1456" s="100"/>
      <c r="C1456" s="121"/>
      <c r="D1456" s="121"/>
      <c r="E1456" s="121"/>
      <c r="F1456" s="121"/>
      <c r="G1456" s="121"/>
      <c r="H1456" s="121"/>
      <c r="I1456" s="121"/>
      <c r="J1456" s="121"/>
      <c r="K1456" s="121"/>
      <c r="L1456" s="121"/>
      <c r="M1456" s="121"/>
      <c r="N1456" s="121"/>
      <c r="O1456" s="121"/>
      <c r="P1456" s="121"/>
      <c r="Q1456" s="121"/>
      <c r="R1456" s="121"/>
      <c r="S1456" s="121"/>
      <c r="T1456" s="121"/>
      <c r="U1456" s="121"/>
      <c r="V1456" s="121"/>
      <c r="W1456" s="121"/>
      <c r="X1456" s="121"/>
      <c r="Y1456" s="121"/>
      <c r="Z1456" s="121"/>
      <c r="AA1456" s="121"/>
      <c r="AB1456" s="121"/>
    </row>
    <row r="1457" spans="2:29" ht="13.5" customHeight="1">
      <c r="B1457" s="98" t="s">
        <v>55</v>
      </c>
      <c r="C1457" s="121"/>
      <c r="D1457" s="121"/>
      <c r="E1457" s="121"/>
      <c r="F1457" s="121"/>
      <c r="G1457" s="121"/>
      <c r="H1457" s="121"/>
      <c r="I1457" s="121"/>
      <c r="J1457" s="121"/>
      <c r="K1457" s="121"/>
      <c r="L1457" s="121"/>
      <c r="M1457" s="121"/>
      <c r="N1457" s="121"/>
      <c r="O1457" s="121"/>
      <c r="P1457" s="121"/>
      <c r="Q1457" s="121"/>
      <c r="R1457" s="121"/>
      <c r="S1457" s="121"/>
      <c r="T1457" s="121"/>
      <c r="U1457" s="121"/>
      <c r="V1457" s="121"/>
      <c r="W1457" s="121"/>
      <c r="X1457" s="121"/>
      <c r="Y1457" s="121"/>
      <c r="Z1457" s="121"/>
      <c r="AA1457" s="121"/>
      <c r="AB1457" s="121"/>
      <c r="AC1457" s="37">
        <f>AC1448+1</f>
        <v>162</v>
      </c>
    </row>
    <row r="1458" spans="2:29" ht="13.5" customHeight="1">
      <c r="B1458" s="99">
        <f>INDEX(QSGR!$B$16:$B$1570,AC1457)</f>
        <v>0</v>
      </c>
      <c r="C1458" s="121"/>
      <c r="D1458" s="121"/>
      <c r="E1458" s="97">
        <f>INDEX(QSGR!$D$16:$D$11170,AC1457)</f>
        <v>0</v>
      </c>
      <c r="F1458" s="121"/>
      <c r="G1458" s="121"/>
      <c r="H1458" s="121"/>
      <c r="I1458" s="121"/>
      <c r="J1458" s="121"/>
      <c r="K1458" s="121"/>
      <c r="L1458" s="121"/>
      <c r="M1458" s="121"/>
      <c r="N1458" s="121"/>
      <c r="O1458" s="121"/>
      <c r="P1458" s="121"/>
      <c r="Q1458" s="121"/>
      <c r="R1458" s="121"/>
      <c r="S1458" s="121"/>
      <c r="T1458" s="121"/>
      <c r="U1458" s="121"/>
      <c r="V1458" s="121"/>
      <c r="W1458" s="121"/>
      <c r="X1458" s="121"/>
      <c r="Y1458" s="121"/>
      <c r="Z1458" s="121"/>
      <c r="AA1458" s="121"/>
      <c r="AB1458" s="121"/>
    </row>
    <row r="1459" spans="2:29" ht="13.5" customHeight="1">
      <c r="B1459" s="96" t="str">
        <f>CONCATENATE("- Evento: ",INFO!$B$22)</f>
        <v>- Evento: PARTICIPAR DA OPERAÇÃO HORUS.</v>
      </c>
      <c r="C1459" s="121"/>
      <c r="D1459" s="121"/>
      <c r="E1459" s="121"/>
      <c r="F1459" s="121"/>
      <c r="G1459" s="121"/>
      <c r="H1459" s="121"/>
      <c r="I1459" s="121"/>
      <c r="J1459" s="121"/>
      <c r="K1459" s="121"/>
      <c r="L1459" s="121"/>
      <c r="M1459" s="121"/>
      <c r="N1459" s="121"/>
      <c r="O1459" s="121"/>
      <c r="P1459" s="121"/>
      <c r="Q1459" s="121"/>
      <c r="R1459" s="121"/>
      <c r="S1459" s="121"/>
      <c r="T1459" s="121"/>
      <c r="U1459" s="121"/>
      <c r="V1459" s="121"/>
      <c r="W1459" s="121"/>
      <c r="X1459" s="121"/>
      <c r="Y1459" s="121"/>
      <c r="Z1459" s="121"/>
      <c r="AA1459" s="121"/>
      <c r="AB1459" s="121"/>
    </row>
    <row r="1460" spans="2:29" ht="13.5" customHeight="1">
      <c r="B1460" s="98" t="str">
        <f>CONCATENATE("- Documento de Solicitação: ",INFO!$B$24)</f>
        <v>- Documento de Solicitação: TESTE AZUL</v>
      </c>
      <c r="C1460" s="121"/>
      <c r="D1460" s="121"/>
      <c r="E1460" s="121"/>
      <c r="F1460" s="121"/>
      <c r="G1460" s="121"/>
      <c r="H1460" s="121"/>
      <c r="I1460" s="121"/>
      <c r="J1460" s="121"/>
      <c r="K1460" s="121"/>
      <c r="L1460" s="121"/>
      <c r="M1460" s="121"/>
      <c r="N1460" s="121"/>
      <c r="O1460" s="121"/>
      <c r="P1460" s="121"/>
      <c r="Q1460" s="121"/>
      <c r="R1460" s="121"/>
      <c r="S1460" s="121"/>
      <c r="T1460" s="121"/>
      <c r="U1460" s="121"/>
      <c r="V1460" s="121"/>
      <c r="W1460" s="121"/>
      <c r="X1460" s="121"/>
      <c r="Y1460" s="121"/>
      <c r="Z1460" s="121"/>
      <c r="AA1460" s="121"/>
      <c r="AB1460" s="121"/>
    </row>
    <row r="1461" spans="2:29" ht="13.5" customHeight="1">
      <c r="B1461" s="98" t="str">
        <f>CONCATENATE("- Local: ",INFO!$C$18)</f>
        <v>- Local: GUAIRA - PR</v>
      </c>
      <c r="C1461" s="121"/>
      <c r="D1461" s="121"/>
      <c r="E1461" s="121"/>
      <c r="F1461" s="121"/>
      <c r="G1461" s="121"/>
      <c r="H1461" s="121"/>
      <c r="I1461" s="121"/>
      <c r="J1461" s="121"/>
      <c r="K1461" s="121"/>
      <c r="L1461" s="121"/>
      <c r="M1461" s="121"/>
      <c r="N1461" s="121"/>
      <c r="O1461" s="121"/>
      <c r="P1461" s="121"/>
      <c r="Q1461" s="121"/>
      <c r="R1461" s="121"/>
      <c r="S1461" s="121"/>
      <c r="T1461" s="121"/>
      <c r="U1461" s="121"/>
      <c r="V1461" s="121"/>
      <c r="W1461" s="121"/>
      <c r="X1461" s="121"/>
      <c r="Y1461" s="121"/>
      <c r="Z1461" s="121"/>
      <c r="AA1461" s="121"/>
      <c r="AB1461" s="121"/>
    </row>
    <row r="1462" spans="2:29" ht="13.5" customHeight="1">
      <c r="B1462" s="98" t="str">
        <f>CONCATENATE("- Periodo: ",INFO!$C$10," a ",INFO!$C$19)</f>
        <v xml:space="preserve">- Periodo: 22/7/2025  a 23/8/2025 </v>
      </c>
      <c r="C1462" s="121"/>
      <c r="D1462" s="121"/>
      <c r="E1462" s="121"/>
      <c r="F1462" s="121"/>
      <c r="G1462" s="121"/>
      <c r="H1462" s="121"/>
      <c r="I1462" s="121"/>
      <c r="J1462" s="121"/>
      <c r="K1462" s="121"/>
      <c r="L1462" s="121"/>
      <c r="M1462" s="121"/>
      <c r="N1462" s="121"/>
      <c r="O1462" s="121"/>
      <c r="P1462" s="121"/>
      <c r="Q1462" s="121"/>
      <c r="R1462" s="121"/>
      <c r="S1462" s="121"/>
      <c r="T1462" s="121"/>
      <c r="U1462" s="121"/>
      <c r="V1462" s="121"/>
      <c r="W1462" s="121"/>
      <c r="X1462" s="121"/>
      <c r="Y1462" s="121"/>
      <c r="Z1462" s="121"/>
      <c r="AA1462" s="121"/>
      <c r="AB1462" s="121"/>
    </row>
    <row r="1463" spans="2:29" ht="13.5" customHeight="1">
      <c r="B1463" s="98" t="str">
        <f>CONCATENATE("- Nr Dias: ",INFO!$C$20)</f>
        <v>- Nr Dias: 33</v>
      </c>
      <c r="C1463" s="121"/>
      <c r="D1463" s="121"/>
      <c r="E1463" s="121"/>
      <c r="F1463" s="121"/>
      <c r="G1463" s="121"/>
      <c r="H1463" s="121"/>
      <c r="I1463" s="121"/>
      <c r="J1463" s="121"/>
      <c r="K1463" s="121"/>
      <c r="L1463" s="121"/>
      <c r="M1463" s="121"/>
      <c r="N1463" s="121"/>
      <c r="O1463" s="121"/>
      <c r="P1463" s="121"/>
      <c r="Q1463" s="121"/>
      <c r="R1463" s="121"/>
      <c r="S1463" s="121"/>
      <c r="T1463" s="121"/>
      <c r="U1463" s="121"/>
      <c r="V1463" s="121"/>
      <c r="W1463" s="121"/>
      <c r="X1463" s="121"/>
      <c r="Y1463" s="121"/>
      <c r="Z1463" s="121"/>
      <c r="AA1463" s="121"/>
      <c r="AB1463" s="121"/>
    </row>
    <row r="1464" spans="2:29" ht="13.5" customHeight="1">
      <c r="B1464" s="98" t="str">
        <f>CONCATENATE("- Valor Estimado: R$ ",INDEX(QSGR!$J$16:$J$11170,AC1457))</f>
        <v xml:space="preserve">- Valor Estimado: R$ </v>
      </c>
      <c r="C1464" s="121"/>
      <c r="D1464" s="121"/>
      <c r="E1464" s="121"/>
      <c r="F1464" s="121"/>
      <c r="G1464" s="121"/>
      <c r="H1464" s="121"/>
      <c r="I1464" s="121"/>
      <c r="J1464" s="121"/>
      <c r="K1464" s="121"/>
      <c r="L1464" s="121"/>
      <c r="M1464" s="121"/>
      <c r="N1464" s="121"/>
      <c r="O1464" s="121"/>
      <c r="P1464" s="121"/>
      <c r="Q1464" s="121"/>
      <c r="R1464" s="121"/>
      <c r="S1464" s="121"/>
      <c r="T1464" s="121"/>
      <c r="U1464" s="121"/>
      <c r="V1464" s="121"/>
      <c r="W1464" s="121"/>
      <c r="X1464" s="121"/>
      <c r="Y1464" s="121"/>
      <c r="Z1464" s="121"/>
      <c r="AA1464" s="121"/>
      <c r="AB1464" s="121"/>
    </row>
    <row r="1465" spans="2:29" ht="13.5" customHeight="1">
      <c r="B1465" s="100"/>
      <c r="C1465" s="121"/>
      <c r="D1465" s="121"/>
      <c r="E1465" s="121"/>
      <c r="F1465" s="121"/>
      <c r="G1465" s="121"/>
      <c r="H1465" s="121"/>
      <c r="I1465" s="121"/>
      <c r="J1465" s="121"/>
      <c r="K1465" s="121"/>
      <c r="L1465" s="121"/>
      <c r="M1465" s="121"/>
      <c r="N1465" s="121"/>
      <c r="O1465" s="121"/>
      <c r="P1465" s="121"/>
      <c r="Q1465" s="121"/>
      <c r="R1465" s="121"/>
      <c r="S1465" s="121"/>
      <c r="T1465" s="121"/>
      <c r="U1465" s="121"/>
      <c r="V1465" s="121"/>
      <c r="W1465" s="121"/>
      <c r="X1465" s="121"/>
      <c r="Y1465" s="121"/>
      <c r="Z1465" s="121"/>
      <c r="AA1465" s="121"/>
      <c r="AB1465" s="121"/>
    </row>
    <row r="1466" spans="2:29" ht="13.5" customHeight="1">
      <c r="B1466" s="98" t="s">
        <v>55</v>
      </c>
      <c r="C1466" s="121"/>
      <c r="D1466" s="121"/>
      <c r="E1466" s="121"/>
      <c r="F1466" s="121"/>
      <c r="G1466" s="121"/>
      <c r="H1466" s="121"/>
      <c r="I1466" s="121"/>
      <c r="J1466" s="121"/>
      <c r="K1466" s="121"/>
      <c r="L1466" s="121"/>
      <c r="M1466" s="121"/>
      <c r="N1466" s="121"/>
      <c r="O1466" s="121"/>
      <c r="P1466" s="121"/>
      <c r="Q1466" s="121"/>
      <c r="R1466" s="121"/>
      <c r="S1466" s="121"/>
      <c r="T1466" s="121"/>
      <c r="U1466" s="121"/>
      <c r="V1466" s="121"/>
      <c r="W1466" s="121"/>
      <c r="X1466" s="121"/>
      <c r="Y1466" s="121"/>
      <c r="Z1466" s="121"/>
      <c r="AA1466" s="121"/>
      <c r="AB1466" s="121"/>
      <c r="AC1466" s="37">
        <f>AC1457+1</f>
        <v>163</v>
      </c>
    </row>
    <row r="1467" spans="2:29" ht="13.5" customHeight="1">
      <c r="B1467" s="99">
        <f>INDEX(QSGR!$B$16:$B$1570,AC1466)</f>
        <v>0</v>
      </c>
      <c r="C1467" s="121"/>
      <c r="D1467" s="121"/>
      <c r="E1467" s="97">
        <f>INDEX(QSGR!$D$16:$D$11170,AC1466)</f>
        <v>0</v>
      </c>
      <c r="F1467" s="121"/>
      <c r="G1467" s="121"/>
      <c r="H1467" s="121"/>
      <c r="I1467" s="121"/>
      <c r="J1467" s="121"/>
      <c r="K1467" s="121"/>
      <c r="L1467" s="121"/>
      <c r="M1467" s="121"/>
      <c r="N1467" s="121"/>
      <c r="O1467" s="121"/>
      <c r="P1467" s="121"/>
      <c r="Q1467" s="121"/>
      <c r="R1467" s="121"/>
      <c r="S1467" s="121"/>
      <c r="T1467" s="121"/>
      <c r="U1467" s="121"/>
      <c r="V1467" s="121"/>
      <c r="W1467" s="121"/>
      <c r="X1467" s="121"/>
      <c r="Y1467" s="121"/>
      <c r="Z1467" s="121"/>
      <c r="AA1467" s="121"/>
      <c r="AB1467" s="121"/>
    </row>
    <row r="1468" spans="2:29" ht="13.5" customHeight="1">
      <c r="B1468" s="96" t="str">
        <f>CONCATENATE("- Evento: ",INFO!$B$22)</f>
        <v>- Evento: PARTICIPAR DA OPERAÇÃO HORUS.</v>
      </c>
      <c r="C1468" s="121"/>
      <c r="D1468" s="121"/>
      <c r="E1468" s="121"/>
      <c r="F1468" s="121"/>
      <c r="G1468" s="121"/>
      <c r="H1468" s="121"/>
      <c r="I1468" s="121"/>
      <c r="J1468" s="121"/>
      <c r="K1468" s="121"/>
      <c r="L1468" s="121"/>
      <c r="M1468" s="121"/>
      <c r="N1468" s="121"/>
      <c r="O1468" s="121"/>
      <c r="P1468" s="121"/>
      <c r="Q1468" s="121"/>
      <c r="R1468" s="121"/>
      <c r="S1468" s="121"/>
      <c r="T1468" s="121"/>
      <c r="U1468" s="121"/>
      <c r="V1468" s="121"/>
      <c r="W1468" s="121"/>
      <c r="X1468" s="121"/>
      <c r="Y1468" s="121"/>
      <c r="Z1468" s="121"/>
      <c r="AA1468" s="121"/>
      <c r="AB1468" s="121"/>
    </row>
    <row r="1469" spans="2:29" ht="13.5" customHeight="1">
      <c r="B1469" s="98" t="str">
        <f>CONCATENATE("- Documento de Solicitação: ",INFO!$B$24)</f>
        <v>- Documento de Solicitação: TESTE AZUL</v>
      </c>
      <c r="C1469" s="121"/>
      <c r="D1469" s="121"/>
      <c r="E1469" s="121"/>
      <c r="F1469" s="121"/>
      <c r="G1469" s="121"/>
      <c r="H1469" s="121"/>
      <c r="I1469" s="121"/>
      <c r="J1469" s="121"/>
      <c r="K1469" s="121"/>
      <c r="L1469" s="121"/>
      <c r="M1469" s="121"/>
      <c r="N1469" s="121"/>
      <c r="O1469" s="121"/>
      <c r="P1469" s="121"/>
      <c r="Q1469" s="121"/>
      <c r="R1469" s="121"/>
      <c r="S1469" s="121"/>
      <c r="T1469" s="121"/>
      <c r="U1469" s="121"/>
      <c r="V1469" s="121"/>
      <c r="W1469" s="121"/>
      <c r="X1469" s="121"/>
      <c r="Y1469" s="121"/>
      <c r="Z1469" s="121"/>
      <c r="AA1469" s="121"/>
      <c r="AB1469" s="121"/>
    </row>
    <row r="1470" spans="2:29" ht="13.5" customHeight="1">
      <c r="B1470" s="98" t="str">
        <f>CONCATENATE("- Local: ",INFO!$C$18)</f>
        <v>- Local: GUAIRA - PR</v>
      </c>
      <c r="C1470" s="121"/>
      <c r="D1470" s="121"/>
      <c r="E1470" s="121"/>
      <c r="F1470" s="121"/>
      <c r="G1470" s="121"/>
      <c r="H1470" s="121"/>
      <c r="I1470" s="121"/>
      <c r="J1470" s="121"/>
      <c r="K1470" s="121"/>
      <c r="L1470" s="121"/>
      <c r="M1470" s="121"/>
      <c r="N1470" s="121"/>
      <c r="O1470" s="121"/>
      <c r="P1470" s="121"/>
      <c r="Q1470" s="121"/>
      <c r="R1470" s="121"/>
      <c r="S1470" s="121"/>
      <c r="T1470" s="121"/>
      <c r="U1470" s="121"/>
      <c r="V1470" s="121"/>
      <c r="W1470" s="121"/>
      <c r="X1470" s="121"/>
      <c r="Y1470" s="121"/>
      <c r="Z1470" s="121"/>
      <c r="AA1470" s="121"/>
      <c r="AB1470" s="121"/>
    </row>
    <row r="1471" spans="2:29" ht="13.5" customHeight="1">
      <c r="B1471" s="98" t="str">
        <f>CONCATENATE("- Periodo: ",INFO!$C$10," a ",INFO!$C$19)</f>
        <v xml:space="preserve">- Periodo: 22/7/2025  a 23/8/2025 </v>
      </c>
      <c r="C1471" s="121"/>
      <c r="D1471" s="121"/>
      <c r="E1471" s="121"/>
      <c r="F1471" s="121"/>
      <c r="G1471" s="121"/>
      <c r="H1471" s="121"/>
      <c r="I1471" s="121"/>
      <c r="J1471" s="121"/>
      <c r="K1471" s="121"/>
      <c r="L1471" s="121"/>
      <c r="M1471" s="121"/>
      <c r="N1471" s="121"/>
      <c r="O1471" s="121"/>
      <c r="P1471" s="121"/>
      <c r="Q1471" s="121"/>
      <c r="R1471" s="121"/>
      <c r="S1471" s="121"/>
      <c r="T1471" s="121"/>
      <c r="U1471" s="121"/>
      <c r="V1471" s="121"/>
      <c r="W1471" s="121"/>
      <c r="X1471" s="121"/>
      <c r="Y1471" s="121"/>
      <c r="Z1471" s="121"/>
      <c r="AA1471" s="121"/>
      <c r="AB1471" s="121"/>
    </row>
    <row r="1472" spans="2:29" ht="13.5" customHeight="1">
      <c r="B1472" s="98" t="str">
        <f>CONCATENATE("- Nr Dias: ",INFO!$C$20)</f>
        <v>- Nr Dias: 33</v>
      </c>
      <c r="C1472" s="121"/>
      <c r="D1472" s="121"/>
      <c r="E1472" s="121"/>
      <c r="F1472" s="121"/>
      <c r="G1472" s="121"/>
      <c r="H1472" s="121"/>
      <c r="I1472" s="121"/>
      <c r="J1472" s="121"/>
      <c r="K1472" s="121"/>
      <c r="L1472" s="121"/>
      <c r="M1472" s="121"/>
      <c r="N1472" s="121"/>
      <c r="O1472" s="121"/>
      <c r="P1472" s="121"/>
      <c r="Q1472" s="121"/>
      <c r="R1472" s="121"/>
      <c r="S1472" s="121"/>
      <c r="T1472" s="121"/>
      <c r="U1472" s="121"/>
      <c r="V1472" s="121"/>
      <c r="W1472" s="121"/>
      <c r="X1472" s="121"/>
      <c r="Y1472" s="121"/>
      <c r="Z1472" s="121"/>
      <c r="AA1472" s="121"/>
      <c r="AB1472" s="121"/>
    </row>
    <row r="1473" spans="2:29" ht="13.5" customHeight="1">
      <c r="B1473" s="98" t="str">
        <f>CONCATENATE("- Valor Estimado: R$ ",INDEX(QSGR!$J$16:$J$11170,AC1466))</f>
        <v xml:space="preserve">- Valor Estimado: R$ </v>
      </c>
      <c r="C1473" s="121"/>
      <c r="D1473" s="121"/>
      <c r="E1473" s="121"/>
      <c r="F1473" s="121"/>
      <c r="G1473" s="121"/>
      <c r="H1473" s="121"/>
      <c r="I1473" s="121"/>
      <c r="J1473" s="121"/>
      <c r="K1473" s="121"/>
      <c r="L1473" s="121"/>
      <c r="M1473" s="121"/>
      <c r="N1473" s="121"/>
      <c r="O1473" s="121"/>
      <c r="P1473" s="121"/>
      <c r="Q1473" s="121"/>
      <c r="R1473" s="121"/>
      <c r="S1473" s="121"/>
      <c r="T1473" s="121"/>
      <c r="U1473" s="121"/>
      <c r="V1473" s="121"/>
      <c r="W1473" s="121"/>
      <c r="X1473" s="121"/>
      <c r="Y1473" s="121"/>
      <c r="Z1473" s="121"/>
      <c r="AA1473" s="121"/>
      <c r="AB1473" s="121"/>
    </row>
    <row r="1474" spans="2:29" ht="13.5" customHeight="1">
      <c r="B1474" s="100"/>
      <c r="C1474" s="121"/>
      <c r="D1474" s="121"/>
      <c r="E1474" s="121"/>
      <c r="F1474" s="121"/>
      <c r="G1474" s="121"/>
      <c r="H1474" s="121"/>
      <c r="I1474" s="121"/>
      <c r="J1474" s="121"/>
      <c r="K1474" s="121"/>
      <c r="L1474" s="121"/>
      <c r="M1474" s="121"/>
      <c r="N1474" s="121"/>
      <c r="O1474" s="121"/>
      <c r="P1474" s="121"/>
      <c r="Q1474" s="121"/>
      <c r="R1474" s="121"/>
      <c r="S1474" s="121"/>
      <c r="T1474" s="121"/>
      <c r="U1474" s="121"/>
      <c r="V1474" s="121"/>
      <c r="W1474" s="121"/>
      <c r="X1474" s="121"/>
      <c r="Y1474" s="121"/>
      <c r="Z1474" s="121"/>
      <c r="AA1474" s="121"/>
      <c r="AB1474" s="121"/>
    </row>
    <row r="1475" spans="2:29" ht="13.5" customHeight="1">
      <c r="B1475" s="98" t="s">
        <v>55</v>
      </c>
      <c r="C1475" s="121"/>
      <c r="D1475" s="121"/>
      <c r="E1475" s="121"/>
      <c r="F1475" s="121"/>
      <c r="G1475" s="121"/>
      <c r="H1475" s="121"/>
      <c r="I1475" s="121"/>
      <c r="J1475" s="121"/>
      <c r="K1475" s="121"/>
      <c r="L1475" s="121"/>
      <c r="M1475" s="121"/>
      <c r="N1475" s="121"/>
      <c r="O1475" s="121"/>
      <c r="P1475" s="121"/>
      <c r="Q1475" s="121"/>
      <c r="R1475" s="121"/>
      <c r="S1475" s="121"/>
      <c r="T1475" s="121"/>
      <c r="U1475" s="121"/>
      <c r="V1475" s="121"/>
      <c r="W1475" s="121"/>
      <c r="X1475" s="121"/>
      <c r="Y1475" s="121"/>
      <c r="Z1475" s="121"/>
      <c r="AA1475" s="121"/>
      <c r="AB1475" s="121"/>
      <c r="AC1475" s="37">
        <f>AC1466+1</f>
        <v>164</v>
      </c>
    </row>
    <row r="1476" spans="2:29" ht="13.5" customHeight="1">
      <c r="B1476" s="99">
        <f>INDEX(QSGR!$B$16:$B$1570,AC1475)</f>
        <v>0</v>
      </c>
      <c r="C1476" s="121"/>
      <c r="D1476" s="121"/>
      <c r="E1476" s="97">
        <f>INDEX(QSGR!$D$16:$D$11170,AC1475)</f>
        <v>0</v>
      </c>
      <c r="F1476" s="121"/>
      <c r="G1476" s="121"/>
      <c r="H1476" s="121"/>
      <c r="I1476" s="121"/>
      <c r="J1476" s="121"/>
      <c r="K1476" s="121"/>
      <c r="L1476" s="121"/>
      <c r="M1476" s="121"/>
      <c r="N1476" s="121"/>
      <c r="O1476" s="121"/>
      <c r="P1476" s="121"/>
      <c r="Q1476" s="121"/>
      <c r="R1476" s="121"/>
      <c r="S1476" s="121"/>
      <c r="T1476" s="121"/>
      <c r="U1476" s="121"/>
      <c r="V1476" s="121"/>
      <c r="W1476" s="121"/>
      <c r="X1476" s="121"/>
      <c r="Y1476" s="121"/>
      <c r="Z1476" s="121"/>
      <c r="AA1476" s="121"/>
      <c r="AB1476" s="121"/>
    </row>
    <row r="1477" spans="2:29" ht="13.5" customHeight="1">
      <c r="B1477" s="96" t="str">
        <f>CONCATENATE("- Evento: ",INFO!$B$22)</f>
        <v>- Evento: PARTICIPAR DA OPERAÇÃO HORUS.</v>
      </c>
      <c r="C1477" s="121"/>
      <c r="D1477" s="121"/>
      <c r="E1477" s="121"/>
      <c r="F1477" s="121"/>
      <c r="G1477" s="121"/>
      <c r="H1477" s="121"/>
      <c r="I1477" s="121"/>
      <c r="J1477" s="121"/>
      <c r="K1477" s="121"/>
      <c r="L1477" s="121"/>
      <c r="M1477" s="121"/>
      <c r="N1477" s="121"/>
      <c r="O1477" s="121"/>
      <c r="P1477" s="121"/>
      <c r="Q1477" s="121"/>
      <c r="R1477" s="121"/>
      <c r="S1477" s="121"/>
      <c r="T1477" s="121"/>
      <c r="U1477" s="121"/>
      <c r="V1477" s="121"/>
      <c r="W1477" s="121"/>
      <c r="X1477" s="121"/>
      <c r="Y1477" s="121"/>
      <c r="Z1477" s="121"/>
      <c r="AA1477" s="121"/>
      <c r="AB1477" s="121"/>
    </row>
    <row r="1478" spans="2:29" ht="13.5" customHeight="1">
      <c r="B1478" s="98" t="str">
        <f>CONCATENATE("- Documento de Solicitação: ",INFO!$B$24)</f>
        <v>- Documento de Solicitação: TESTE AZUL</v>
      </c>
      <c r="C1478" s="121"/>
      <c r="D1478" s="121"/>
      <c r="E1478" s="121"/>
      <c r="F1478" s="121"/>
      <c r="G1478" s="121"/>
      <c r="H1478" s="121"/>
      <c r="I1478" s="121"/>
      <c r="J1478" s="121"/>
      <c r="K1478" s="121"/>
      <c r="L1478" s="121"/>
      <c r="M1478" s="121"/>
      <c r="N1478" s="121"/>
      <c r="O1478" s="121"/>
      <c r="P1478" s="121"/>
      <c r="Q1478" s="121"/>
      <c r="R1478" s="121"/>
      <c r="S1478" s="121"/>
      <c r="T1478" s="121"/>
      <c r="U1478" s="121"/>
      <c r="V1478" s="121"/>
      <c r="W1478" s="121"/>
      <c r="X1478" s="121"/>
      <c r="Y1478" s="121"/>
      <c r="Z1478" s="121"/>
      <c r="AA1478" s="121"/>
      <c r="AB1478" s="121"/>
    </row>
    <row r="1479" spans="2:29" ht="13.5" customHeight="1">
      <c r="B1479" s="98" t="str">
        <f>CONCATENATE("- Local: ",INFO!$C$18)</f>
        <v>- Local: GUAIRA - PR</v>
      </c>
      <c r="C1479" s="121"/>
      <c r="D1479" s="121"/>
      <c r="E1479" s="121"/>
      <c r="F1479" s="121"/>
      <c r="G1479" s="121"/>
      <c r="H1479" s="121"/>
      <c r="I1479" s="121"/>
      <c r="J1479" s="121"/>
      <c r="K1479" s="121"/>
      <c r="L1479" s="121"/>
      <c r="M1479" s="121"/>
      <c r="N1479" s="121"/>
      <c r="O1479" s="121"/>
      <c r="P1479" s="121"/>
      <c r="Q1479" s="121"/>
      <c r="R1479" s="121"/>
      <c r="S1479" s="121"/>
      <c r="T1479" s="121"/>
      <c r="U1479" s="121"/>
      <c r="V1479" s="121"/>
      <c r="W1479" s="121"/>
      <c r="X1479" s="121"/>
      <c r="Y1479" s="121"/>
      <c r="Z1479" s="121"/>
      <c r="AA1479" s="121"/>
      <c r="AB1479" s="121"/>
    </row>
    <row r="1480" spans="2:29" ht="13.5" customHeight="1">
      <c r="B1480" s="98" t="str">
        <f>CONCATENATE("- Periodo: ",INFO!$C$10," a ",INFO!$C$19)</f>
        <v xml:space="preserve">- Periodo: 22/7/2025  a 23/8/2025 </v>
      </c>
      <c r="C1480" s="121"/>
      <c r="D1480" s="121"/>
      <c r="E1480" s="121"/>
      <c r="F1480" s="121"/>
      <c r="G1480" s="121"/>
      <c r="H1480" s="121"/>
      <c r="I1480" s="121"/>
      <c r="J1480" s="121"/>
      <c r="K1480" s="121"/>
      <c r="L1480" s="121"/>
      <c r="M1480" s="121"/>
      <c r="N1480" s="121"/>
      <c r="O1480" s="121"/>
      <c r="P1480" s="121"/>
      <c r="Q1480" s="121"/>
      <c r="R1480" s="121"/>
      <c r="S1480" s="121"/>
      <c r="T1480" s="121"/>
      <c r="U1480" s="121"/>
      <c r="V1480" s="121"/>
      <c r="W1480" s="121"/>
      <c r="X1480" s="121"/>
      <c r="Y1480" s="121"/>
      <c r="Z1480" s="121"/>
      <c r="AA1480" s="121"/>
      <c r="AB1480" s="121"/>
    </row>
    <row r="1481" spans="2:29" ht="13.5" customHeight="1">
      <c r="B1481" s="98" t="str">
        <f>CONCATENATE("- Nr Dias: ",INFO!$C$20)</f>
        <v>- Nr Dias: 33</v>
      </c>
      <c r="C1481" s="121"/>
      <c r="D1481" s="121"/>
      <c r="E1481" s="121"/>
      <c r="F1481" s="121"/>
      <c r="G1481" s="121"/>
      <c r="H1481" s="121"/>
      <c r="I1481" s="121"/>
      <c r="J1481" s="121"/>
      <c r="K1481" s="121"/>
      <c r="L1481" s="121"/>
      <c r="M1481" s="121"/>
      <c r="N1481" s="121"/>
      <c r="O1481" s="121"/>
      <c r="P1481" s="121"/>
      <c r="Q1481" s="121"/>
      <c r="R1481" s="121"/>
      <c r="S1481" s="121"/>
      <c r="T1481" s="121"/>
      <c r="U1481" s="121"/>
      <c r="V1481" s="121"/>
      <c r="W1481" s="121"/>
      <c r="X1481" s="121"/>
      <c r="Y1481" s="121"/>
      <c r="Z1481" s="121"/>
      <c r="AA1481" s="121"/>
      <c r="AB1481" s="121"/>
    </row>
    <row r="1482" spans="2:29" ht="13.5" customHeight="1">
      <c r="B1482" s="98" t="str">
        <f>CONCATENATE("- Valor Estimado: R$ ",INDEX(QSGR!$J$16:$J$11170,AC1475))</f>
        <v xml:space="preserve">- Valor Estimado: R$ </v>
      </c>
      <c r="C1482" s="121"/>
      <c r="D1482" s="121"/>
      <c r="E1482" s="121"/>
      <c r="F1482" s="121"/>
      <c r="G1482" s="121"/>
      <c r="H1482" s="121"/>
      <c r="I1482" s="121"/>
      <c r="J1482" s="121"/>
      <c r="K1482" s="121"/>
      <c r="L1482" s="121"/>
      <c r="M1482" s="121"/>
      <c r="N1482" s="121"/>
      <c r="O1482" s="121"/>
      <c r="P1482" s="121"/>
      <c r="Q1482" s="121"/>
      <c r="R1482" s="121"/>
      <c r="S1482" s="121"/>
      <c r="T1482" s="121"/>
      <c r="U1482" s="121"/>
      <c r="V1482" s="121"/>
      <c r="W1482" s="121"/>
      <c r="X1482" s="121"/>
      <c r="Y1482" s="121"/>
      <c r="Z1482" s="121"/>
      <c r="AA1482" s="121"/>
      <c r="AB1482" s="121"/>
    </row>
    <row r="1483" spans="2:29" ht="13.5" customHeight="1">
      <c r="B1483" s="100"/>
      <c r="C1483" s="121"/>
      <c r="D1483" s="121"/>
      <c r="E1483" s="121"/>
      <c r="F1483" s="121"/>
      <c r="G1483" s="121"/>
      <c r="H1483" s="121"/>
      <c r="I1483" s="121"/>
      <c r="J1483" s="121"/>
      <c r="K1483" s="121"/>
      <c r="L1483" s="121"/>
      <c r="M1483" s="121"/>
      <c r="N1483" s="121"/>
      <c r="O1483" s="121"/>
      <c r="P1483" s="121"/>
      <c r="Q1483" s="121"/>
      <c r="R1483" s="121"/>
      <c r="S1483" s="121"/>
      <c r="T1483" s="121"/>
      <c r="U1483" s="121"/>
      <c r="V1483" s="121"/>
      <c r="W1483" s="121"/>
      <c r="X1483" s="121"/>
      <c r="Y1483" s="121"/>
      <c r="Z1483" s="121"/>
      <c r="AA1483" s="121"/>
      <c r="AB1483" s="121"/>
    </row>
    <row r="1484" spans="2:29" ht="13.5" customHeight="1">
      <c r="B1484" s="98" t="s">
        <v>55</v>
      </c>
      <c r="C1484" s="121"/>
      <c r="D1484" s="121"/>
      <c r="E1484" s="121"/>
      <c r="F1484" s="121"/>
      <c r="G1484" s="121"/>
      <c r="H1484" s="121"/>
      <c r="I1484" s="121"/>
      <c r="J1484" s="121"/>
      <c r="K1484" s="121"/>
      <c r="L1484" s="121"/>
      <c r="M1484" s="121"/>
      <c r="N1484" s="121"/>
      <c r="O1484" s="121"/>
      <c r="P1484" s="121"/>
      <c r="Q1484" s="121"/>
      <c r="R1484" s="121"/>
      <c r="S1484" s="121"/>
      <c r="T1484" s="121"/>
      <c r="U1484" s="121"/>
      <c r="V1484" s="121"/>
      <c r="W1484" s="121"/>
      <c r="X1484" s="121"/>
      <c r="Y1484" s="121"/>
      <c r="Z1484" s="121"/>
      <c r="AA1484" s="121"/>
      <c r="AB1484" s="121"/>
      <c r="AC1484" s="37">
        <f>AC1475+1</f>
        <v>165</v>
      </c>
    </row>
    <row r="1485" spans="2:29" ht="13.5" customHeight="1">
      <c r="B1485" s="99">
        <f>INDEX(QSGR!$B$16:$B$1570,AC1484)</f>
        <v>0</v>
      </c>
      <c r="C1485" s="121"/>
      <c r="D1485" s="121"/>
      <c r="E1485" s="97">
        <f>INDEX(QSGR!$D$16:$D$11170,AC1484)</f>
        <v>0</v>
      </c>
      <c r="F1485" s="121"/>
      <c r="G1485" s="121"/>
      <c r="H1485" s="121"/>
      <c r="I1485" s="121"/>
      <c r="J1485" s="121"/>
      <c r="K1485" s="121"/>
      <c r="L1485" s="121"/>
      <c r="M1485" s="121"/>
      <c r="N1485" s="121"/>
      <c r="O1485" s="121"/>
      <c r="P1485" s="121"/>
      <c r="Q1485" s="121"/>
      <c r="R1485" s="121"/>
      <c r="S1485" s="121"/>
      <c r="T1485" s="121"/>
      <c r="U1485" s="121"/>
      <c r="V1485" s="121"/>
      <c r="W1485" s="121"/>
      <c r="X1485" s="121"/>
      <c r="Y1485" s="121"/>
      <c r="Z1485" s="121"/>
      <c r="AA1485" s="121"/>
      <c r="AB1485" s="121"/>
    </row>
    <row r="1486" spans="2:29" ht="13.5" customHeight="1">
      <c r="B1486" s="96" t="str">
        <f>CONCATENATE("- Evento: ",INFO!$B$22)</f>
        <v>- Evento: PARTICIPAR DA OPERAÇÃO HORUS.</v>
      </c>
      <c r="C1486" s="121"/>
      <c r="D1486" s="121"/>
      <c r="E1486" s="121"/>
      <c r="F1486" s="121"/>
      <c r="G1486" s="121"/>
      <c r="H1486" s="121"/>
      <c r="I1486" s="121"/>
      <c r="J1486" s="121"/>
      <c r="K1486" s="121"/>
      <c r="L1486" s="121"/>
      <c r="M1486" s="121"/>
      <c r="N1486" s="121"/>
      <c r="O1486" s="121"/>
      <c r="P1486" s="121"/>
      <c r="Q1486" s="121"/>
      <c r="R1486" s="121"/>
      <c r="S1486" s="121"/>
      <c r="T1486" s="121"/>
      <c r="U1486" s="121"/>
      <c r="V1486" s="121"/>
      <c r="W1486" s="121"/>
      <c r="X1486" s="121"/>
      <c r="Y1486" s="121"/>
      <c r="Z1486" s="121"/>
      <c r="AA1486" s="121"/>
      <c r="AB1486" s="121"/>
    </row>
    <row r="1487" spans="2:29" ht="13.5" customHeight="1">
      <c r="B1487" s="98" t="str">
        <f>CONCATENATE("- Documento de Solicitação: ",INFO!$B$24)</f>
        <v>- Documento de Solicitação: TESTE AZUL</v>
      </c>
      <c r="C1487" s="121"/>
      <c r="D1487" s="121"/>
      <c r="E1487" s="121"/>
      <c r="F1487" s="121"/>
      <c r="G1487" s="121"/>
      <c r="H1487" s="121"/>
      <c r="I1487" s="121"/>
      <c r="J1487" s="121"/>
      <c r="K1487" s="121"/>
      <c r="L1487" s="121"/>
      <c r="M1487" s="121"/>
      <c r="N1487" s="121"/>
      <c r="O1487" s="121"/>
      <c r="P1487" s="121"/>
      <c r="Q1487" s="121"/>
      <c r="R1487" s="121"/>
      <c r="S1487" s="121"/>
      <c r="T1487" s="121"/>
      <c r="U1487" s="121"/>
      <c r="V1487" s="121"/>
      <c r="W1487" s="121"/>
      <c r="X1487" s="121"/>
      <c r="Y1487" s="121"/>
      <c r="Z1487" s="121"/>
      <c r="AA1487" s="121"/>
      <c r="AB1487" s="121"/>
    </row>
    <row r="1488" spans="2:29" ht="13.5" customHeight="1">
      <c r="B1488" s="98" t="str">
        <f>CONCATENATE("- Local: ",INFO!$C$18)</f>
        <v>- Local: GUAIRA - PR</v>
      </c>
      <c r="C1488" s="121"/>
      <c r="D1488" s="121"/>
      <c r="E1488" s="121"/>
      <c r="F1488" s="121"/>
      <c r="G1488" s="121"/>
      <c r="H1488" s="121"/>
      <c r="I1488" s="121"/>
      <c r="J1488" s="121"/>
      <c r="K1488" s="121"/>
      <c r="L1488" s="121"/>
      <c r="M1488" s="121"/>
      <c r="N1488" s="121"/>
      <c r="O1488" s="121"/>
      <c r="P1488" s="121"/>
      <c r="Q1488" s="121"/>
      <c r="R1488" s="121"/>
      <c r="S1488" s="121"/>
      <c r="T1488" s="121"/>
      <c r="U1488" s="121"/>
      <c r="V1488" s="121"/>
      <c r="W1488" s="121"/>
      <c r="X1488" s="121"/>
      <c r="Y1488" s="121"/>
      <c r="Z1488" s="121"/>
      <c r="AA1488" s="121"/>
      <c r="AB1488" s="121"/>
    </row>
    <row r="1489" spans="2:29" ht="13.5" customHeight="1">
      <c r="B1489" s="98" t="str">
        <f>CONCATENATE("- Periodo: ",INFO!$C$10," a ",INFO!$C$19)</f>
        <v xml:space="preserve">- Periodo: 22/7/2025  a 23/8/2025 </v>
      </c>
      <c r="C1489" s="121"/>
      <c r="D1489" s="121"/>
      <c r="E1489" s="121"/>
      <c r="F1489" s="121"/>
      <c r="G1489" s="121"/>
      <c r="H1489" s="121"/>
      <c r="I1489" s="121"/>
      <c r="J1489" s="121"/>
      <c r="K1489" s="121"/>
      <c r="L1489" s="121"/>
      <c r="M1489" s="121"/>
      <c r="N1489" s="121"/>
      <c r="O1489" s="121"/>
      <c r="P1489" s="121"/>
      <c r="Q1489" s="121"/>
      <c r="R1489" s="121"/>
      <c r="S1489" s="121"/>
      <c r="T1489" s="121"/>
      <c r="U1489" s="121"/>
      <c r="V1489" s="121"/>
      <c r="W1489" s="121"/>
      <c r="X1489" s="121"/>
      <c r="Y1489" s="121"/>
      <c r="Z1489" s="121"/>
      <c r="AA1489" s="121"/>
      <c r="AB1489" s="121"/>
    </row>
    <row r="1490" spans="2:29" ht="13.5" customHeight="1">
      <c r="B1490" s="98" t="str">
        <f>CONCATENATE("- Nr Dias: ",INFO!$C$20)</f>
        <v>- Nr Dias: 33</v>
      </c>
      <c r="C1490" s="121"/>
      <c r="D1490" s="121"/>
      <c r="E1490" s="121"/>
      <c r="F1490" s="121"/>
      <c r="G1490" s="121"/>
      <c r="H1490" s="121"/>
      <c r="I1490" s="121"/>
      <c r="J1490" s="121"/>
      <c r="K1490" s="121"/>
      <c r="L1490" s="121"/>
      <c r="M1490" s="121"/>
      <c r="N1490" s="121"/>
      <c r="O1490" s="121"/>
      <c r="P1490" s="121"/>
      <c r="Q1490" s="121"/>
      <c r="R1490" s="121"/>
      <c r="S1490" s="121"/>
      <c r="T1490" s="121"/>
      <c r="U1490" s="121"/>
      <c r="V1490" s="121"/>
      <c r="W1490" s="121"/>
      <c r="X1490" s="121"/>
      <c r="Y1490" s="121"/>
      <c r="Z1490" s="121"/>
      <c r="AA1490" s="121"/>
      <c r="AB1490" s="121"/>
    </row>
    <row r="1491" spans="2:29" ht="13.5" customHeight="1">
      <c r="B1491" s="98" t="str">
        <f>CONCATENATE("- Valor Estimado: R$ ",INDEX(QSGR!$J$16:$J$11170,AC1484))</f>
        <v xml:space="preserve">- Valor Estimado: R$ </v>
      </c>
      <c r="C1491" s="121"/>
      <c r="D1491" s="121"/>
      <c r="E1491" s="121"/>
      <c r="F1491" s="121"/>
      <c r="G1491" s="121"/>
      <c r="H1491" s="121"/>
      <c r="I1491" s="121"/>
      <c r="J1491" s="121"/>
      <c r="K1491" s="121"/>
      <c r="L1491" s="121"/>
      <c r="M1491" s="121"/>
      <c r="N1491" s="121"/>
      <c r="O1491" s="121"/>
      <c r="P1491" s="121"/>
      <c r="Q1491" s="121"/>
      <c r="R1491" s="121"/>
      <c r="S1491" s="121"/>
      <c r="T1491" s="121"/>
      <c r="U1491" s="121"/>
      <c r="V1491" s="121"/>
      <c r="W1491" s="121"/>
      <c r="X1491" s="121"/>
      <c r="Y1491" s="121"/>
      <c r="Z1491" s="121"/>
      <c r="AA1491" s="121"/>
      <c r="AB1491" s="121"/>
    </row>
    <row r="1492" spans="2:29" ht="13.5" customHeight="1">
      <c r="B1492" s="100"/>
      <c r="C1492" s="121"/>
      <c r="D1492" s="121"/>
      <c r="E1492" s="121"/>
      <c r="F1492" s="121"/>
      <c r="G1492" s="121"/>
      <c r="H1492" s="121"/>
      <c r="I1492" s="121"/>
      <c r="J1492" s="121"/>
      <c r="K1492" s="121"/>
      <c r="L1492" s="121"/>
      <c r="M1492" s="121"/>
      <c r="N1492" s="121"/>
      <c r="O1492" s="121"/>
      <c r="P1492" s="121"/>
      <c r="Q1492" s="121"/>
      <c r="R1492" s="121"/>
      <c r="S1492" s="121"/>
      <c r="T1492" s="121"/>
      <c r="U1492" s="121"/>
      <c r="V1492" s="121"/>
      <c r="W1492" s="121"/>
      <c r="X1492" s="121"/>
      <c r="Y1492" s="121"/>
      <c r="Z1492" s="121"/>
      <c r="AA1492" s="121"/>
      <c r="AB1492" s="121"/>
    </row>
    <row r="1493" spans="2:29" ht="13.5" customHeight="1">
      <c r="B1493" s="98" t="s">
        <v>55</v>
      </c>
      <c r="C1493" s="121"/>
      <c r="D1493" s="121"/>
      <c r="E1493" s="121"/>
      <c r="F1493" s="121"/>
      <c r="G1493" s="121"/>
      <c r="H1493" s="121"/>
      <c r="I1493" s="121"/>
      <c r="J1493" s="121"/>
      <c r="K1493" s="121"/>
      <c r="L1493" s="121"/>
      <c r="M1493" s="121"/>
      <c r="N1493" s="121"/>
      <c r="O1493" s="121"/>
      <c r="P1493" s="121"/>
      <c r="Q1493" s="121"/>
      <c r="R1493" s="121"/>
      <c r="S1493" s="121"/>
      <c r="T1493" s="121"/>
      <c r="U1493" s="121"/>
      <c r="V1493" s="121"/>
      <c r="W1493" s="121"/>
      <c r="X1493" s="121"/>
      <c r="Y1493" s="121"/>
      <c r="Z1493" s="121"/>
      <c r="AA1493" s="121"/>
      <c r="AB1493" s="121"/>
      <c r="AC1493" s="37">
        <f>AC1484+1</f>
        <v>166</v>
      </c>
    </row>
    <row r="1494" spans="2:29" ht="13.5" customHeight="1">
      <c r="B1494" s="99">
        <f>INDEX(QSGR!$B$16:$B$1570,AC1493)</f>
        <v>0</v>
      </c>
      <c r="C1494" s="121"/>
      <c r="D1494" s="121"/>
      <c r="E1494" s="97">
        <f>INDEX(QSGR!$D$16:$D$11170,AC1493)</f>
        <v>0</v>
      </c>
      <c r="F1494" s="121"/>
      <c r="G1494" s="121"/>
      <c r="H1494" s="121"/>
      <c r="I1494" s="121"/>
      <c r="J1494" s="121"/>
      <c r="K1494" s="121"/>
      <c r="L1494" s="121"/>
      <c r="M1494" s="121"/>
      <c r="N1494" s="121"/>
      <c r="O1494" s="121"/>
      <c r="P1494" s="121"/>
      <c r="Q1494" s="121"/>
      <c r="R1494" s="121"/>
      <c r="S1494" s="121"/>
      <c r="T1494" s="121"/>
      <c r="U1494" s="121"/>
      <c r="V1494" s="121"/>
      <c r="W1494" s="121"/>
      <c r="X1494" s="121"/>
      <c r="Y1494" s="121"/>
      <c r="Z1494" s="121"/>
      <c r="AA1494" s="121"/>
      <c r="AB1494" s="121"/>
    </row>
    <row r="1495" spans="2:29" ht="13.5" customHeight="1">
      <c r="B1495" s="96" t="str">
        <f>CONCATENATE("- Evento: ",INFO!$B$22)</f>
        <v>- Evento: PARTICIPAR DA OPERAÇÃO HORUS.</v>
      </c>
      <c r="C1495" s="121"/>
      <c r="D1495" s="121"/>
      <c r="E1495" s="121"/>
      <c r="F1495" s="121"/>
      <c r="G1495" s="121"/>
      <c r="H1495" s="121"/>
      <c r="I1495" s="121"/>
      <c r="J1495" s="121"/>
      <c r="K1495" s="121"/>
      <c r="L1495" s="121"/>
      <c r="M1495" s="121"/>
      <c r="N1495" s="121"/>
      <c r="O1495" s="121"/>
      <c r="P1495" s="121"/>
      <c r="Q1495" s="121"/>
      <c r="R1495" s="121"/>
      <c r="S1495" s="121"/>
      <c r="T1495" s="121"/>
      <c r="U1495" s="121"/>
      <c r="V1495" s="121"/>
      <c r="W1495" s="121"/>
      <c r="X1495" s="121"/>
      <c r="Y1495" s="121"/>
      <c r="Z1495" s="121"/>
      <c r="AA1495" s="121"/>
      <c r="AB1495" s="121"/>
    </row>
    <row r="1496" spans="2:29" ht="13.5" customHeight="1">
      <c r="B1496" s="98" t="str">
        <f>CONCATENATE("- Documento de Solicitação: ",INFO!$B$24)</f>
        <v>- Documento de Solicitação: TESTE AZUL</v>
      </c>
      <c r="C1496" s="121"/>
      <c r="D1496" s="121"/>
      <c r="E1496" s="121"/>
      <c r="F1496" s="121"/>
      <c r="G1496" s="121"/>
      <c r="H1496" s="121"/>
      <c r="I1496" s="121"/>
      <c r="J1496" s="121"/>
      <c r="K1496" s="121"/>
      <c r="L1496" s="121"/>
      <c r="M1496" s="121"/>
      <c r="N1496" s="121"/>
      <c r="O1496" s="121"/>
      <c r="P1496" s="121"/>
      <c r="Q1496" s="121"/>
      <c r="R1496" s="121"/>
      <c r="S1496" s="121"/>
      <c r="T1496" s="121"/>
      <c r="U1496" s="121"/>
      <c r="V1496" s="121"/>
      <c r="W1496" s="121"/>
      <c r="X1496" s="121"/>
      <c r="Y1496" s="121"/>
      <c r="Z1496" s="121"/>
      <c r="AA1496" s="121"/>
      <c r="AB1496" s="121"/>
    </row>
    <row r="1497" spans="2:29" ht="13.5" customHeight="1">
      <c r="B1497" s="98" t="str">
        <f>CONCATENATE("- Local: ",INFO!$C$18)</f>
        <v>- Local: GUAIRA - PR</v>
      </c>
      <c r="C1497" s="121"/>
      <c r="D1497" s="121"/>
      <c r="E1497" s="121"/>
      <c r="F1497" s="121"/>
      <c r="G1497" s="121"/>
      <c r="H1497" s="121"/>
      <c r="I1497" s="121"/>
      <c r="J1497" s="121"/>
      <c r="K1497" s="121"/>
      <c r="L1497" s="121"/>
      <c r="M1497" s="121"/>
      <c r="N1497" s="121"/>
      <c r="O1497" s="121"/>
      <c r="P1497" s="121"/>
      <c r="Q1497" s="121"/>
      <c r="R1497" s="121"/>
      <c r="S1497" s="121"/>
      <c r="T1497" s="121"/>
      <c r="U1497" s="121"/>
      <c r="V1497" s="121"/>
      <c r="W1497" s="121"/>
      <c r="X1497" s="121"/>
      <c r="Y1497" s="121"/>
      <c r="Z1497" s="121"/>
      <c r="AA1497" s="121"/>
      <c r="AB1497" s="121"/>
    </row>
    <row r="1498" spans="2:29" ht="13.5" customHeight="1">
      <c r="B1498" s="98" t="str">
        <f>CONCATENATE("- Periodo: ",INFO!$C$10," a ",INFO!$C$19)</f>
        <v xml:space="preserve">- Periodo: 22/7/2025  a 23/8/2025 </v>
      </c>
      <c r="C1498" s="121"/>
      <c r="D1498" s="121"/>
      <c r="E1498" s="121"/>
      <c r="F1498" s="121"/>
      <c r="G1498" s="121"/>
      <c r="H1498" s="121"/>
      <c r="I1498" s="121"/>
      <c r="J1498" s="121"/>
      <c r="K1498" s="121"/>
      <c r="L1498" s="121"/>
      <c r="M1498" s="121"/>
      <c r="N1498" s="121"/>
      <c r="O1498" s="121"/>
      <c r="P1498" s="121"/>
      <c r="Q1498" s="121"/>
      <c r="R1498" s="121"/>
      <c r="S1498" s="121"/>
      <c r="T1498" s="121"/>
      <c r="U1498" s="121"/>
      <c r="V1498" s="121"/>
      <c r="W1498" s="121"/>
      <c r="X1498" s="121"/>
      <c r="Y1498" s="121"/>
      <c r="Z1498" s="121"/>
      <c r="AA1498" s="121"/>
      <c r="AB1498" s="121"/>
    </row>
    <row r="1499" spans="2:29" ht="13.5" customHeight="1">
      <c r="B1499" s="98" t="str">
        <f>CONCATENATE("- Nr Dias: ",INFO!$C$20)</f>
        <v>- Nr Dias: 33</v>
      </c>
      <c r="C1499" s="121"/>
      <c r="D1499" s="121"/>
      <c r="E1499" s="121"/>
      <c r="F1499" s="121"/>
      <c r="G1499" s="121"/>
      <c r="H1499" s="121"/>
      <c r="I1499" s="121"/>
      <c r="J1499" s="121"/>
      <c r="K1499" s="121"/>
      <c r="L1499" s="121"/>
      <c r="M1499" s="121"/>
      <c r="N1499" s="121"/>
      <c r="O1499" s="121"/>
      <c r="P1499" s="121"/>
      <c r="Q1499" s="121"/>
      <c r="R1499" s="121"/>
      <c r="S1499" s="121"/>
      <c r="T1499" s="121"/>
      <c r="U1499" s="121"/>
      <c r="V1499" s="121"/>
      <c r="W1499" s="121"/>
      <c r="X1499" s="121"/>
      <c r="Y1499" s="121"/>
      <c r="Z1499" s="121"/>
      <c r="AA1499" s="121"/>
      <c r="AB1499" s="121"/>
    </row>
    <row r="1500" spans="2:29" ht="13.5" customHeight="1">
      <c r="B1500" s="98" t="str">
        <f>CONCATENATE("- Valor Estimado: R$ ",INDEX(QSGR!$J$16:$J$11170,AC1493))</f>
        <v xml:space="preserve">- Valor Estimado: R$ </v>
      </c>
      <c r="C1500" s="121"/>
      <c r="D1500" s="121"/>
      <c r="E1500" s="121"/>
      <c r="F1500" s="121"/>
      <c r="G1500" s="121"/>
      <c r="H1500" s="121"/>
      <c r="I1500" s="121"/>
      <c r="J1500" s="121"/>
      <c r="K1500" s="121"/>
      <c r="L1500" s="121"/>
      <c r="M1500" s="121"/>
      <c r="N1500" s="121"/>
      <c r="O1500" s="121"/>
      <c r="P1500" s="121"/>
      <c r="Q1500" s="121"/>
      <c r="R1500" s="121"/>
      <c r="S1500" s="121"/>
      <c r="T1500" s="121"/>
      <c r="U1500" s="121"/>
      <c r="V1500" s="121"/>
      <c r="W1500" s="121"/>
      <c r="X1500" s="121"/>
      <c r="Y1500" s="121"/>
      <c r="Z1500" s="121"/>
      <c r="AA1500" s="121"/>
      <c r="AB1500" s="121"/>
    </row>
    <row r="1501" spans="2:29" ht="13.5" customHeight="1">
      <c r="B1501" s="100"/>
      <c r="C1501" s="121"/>
      <c r="D1501" s="121"/>
      <c r="E1501" s="121"/>
      <c r="F1501" s="121"/>
      <c r="G1501" s="121"/>
      <c r="H1501" s="121"/>
      <c r="I1501" s="121"/>
      <c r="J1501" s="121"/>
      <c r="K1501" s="121"/>
      <c r="L1501" s="121"/>
      <c r="M1501" s="121"/>
      <c r="N1501" s="121"/>
      <c r="O1501" s="121"/>
      <c r="P1501" s="121"/>
      <c r="Q1501" s="121"/>
      <c r="R1501" s="121"/>
      <c r="S1501" s="121"/>
      <c r="T1501" s="121"/>
      <c r="U1501" s="121"/>
      <c r="V1501" s="121"/>
      <c r="W1501" s="121"/>
      <c r="X1501" s="121"/>
      <c r="Y1501" s="121"/>
      <c r="Z1501" s="121"/>
      <c r="AA1501" s="121"/>
      <c r="AB1501" s="121"/>
    </row>
    <row r="1502" spans="2:29" ht="13.5" customHeight="1">
      <c r="B1502" s="98" t="s">
        <v>55</v>
      </c>
      <c r="C1502" s="121"/>
      <c r="D1502" s="121"/>
      <c r="E1502" s="121"/>
      <c r="F1502" s="121"/>
      <c r="G1502" s="121"/>
      <c r="H1502" s="121"/>
      <c r="I1502" s="121"/>
      <c r="J1502" s="121"/>
      <c r="K1502" s="121"/>
      <c r="L1502" s="121"/>
      <c r="M1502" s="121"/>
      <c r="N1502" s="121"/>
      <c r="O1502" s="121"/>
      <c r="P1502" s="121"/>
      <c r="Q1502" s="121"/>
      <c r="R1502" s="121"/>
      <c r="S1502" s="121"/>
      <c r="T1502" s="121"/>
      <c r="U1502" s="121"/>
      <c r="V1502" s="121"/>
      <c r="W1502" s="121"/>
      <c r="X1502" s="121"/>
      <c r="Y1502" s="121"/>
      <c r="Z1502" s="121"/>
      <c r="AA1502" s="121"/>
      <c r="AB1502" s="121"/>
      <c r="AC1502" s="37">
        <f>AC1493+1</f>
        <v>167</v>
      </c>
    </row>
    <row r="1503" spans="2:29" ht="13.5" customHeight="1">
      <c r="B1503" s="99">
        <f>INDEX(QSGR!$B$16:$B$1570,AC1502)</f>
        <v>0</v>
      </c>
      <c r="C1503" s="121"/>
      <c r="D1503" s="121"/>
      <c r="E1503" s="97">
        <f>INDEX(QSGR!$D$16:$D$11170,AC1502)</f>
        <v>0</v>
      </c>
      <c r="F1503" s="121"/>
      <c r="G1503" s="121"/>
      <c r="H1503" s="121"/>
      <c r="I1503" s="121"/>
      <c r="J1503" s="121"/>
      <c r="K1503" s="121"/>
      <c r="L1503" s="121"/>
      <c r="M1503" s="121"/>
      <c r="N1503" s="121"/>
      <c r="O1503" s="121"/>
      <c r="P1503" s="121"/>
      <c r="Q1503" s="121"/>
      <c r="R1503" s="121"/>
      <c r="S1503" s="121"/>
      <c r="T1503" s="121"/>
      <c r="U1503" s="121"/>
      <c r="V1503" s="121"/>
      <c r="W1503" s="121"/>
      <c r="X1503" s="121"/>
      <c r="Y1503" s="121"/>
      <c r="Z1503" s="121"/>
      <c r="AA1503" s="121"/>
      <c r="AB1503" s="121"/>
    </row>
    <row r="1504" spans="2:29" ht="13.5" customHeight="1">
      <c r="B1504" s="96" t="str">
        <f>CONCATENATE("- Evento: ",INFO!$B$22)</f>
        <v>- Evento: PARTICIPAR DA OPERAÇÃO HORUS.</v>
      </c>
      <c r="C1504" s="121"/>
      <c r="D1504" s="121"/>
      <c r="E1504" s="121"/>
      <c r="F1504" s="121"/>
      <c r="G1504" s="121"/>
      <c r="H1504" s="121"/>
      <c r="I1504" s="121"/>
      <c r="J1504" s="121"/>
      <c r="K1504" s="121"/>
      <c r="L1504" s="121"/>
      <c r="M1504" s="121"/>
      <c r="N1504" s="121"/>
      <c r="O1504" s="121"/>
      <c r="P1504" s="121"/>
      <c r="Q1504" s="121"/>
      <c r="R1504" s="121"/>
      <c r="S1504" s="121"/>
      <c r="T1504" s="121"/>
      <c r="U1504" s="121"/>
      <c r="V1504" s="121"/>
      <c r="W1504" s="121"/>
      <c r="X1504" s="121"/>
      <c r="Y1504" s="121"/>
      <c r="Z1504" s="121"/>
      <c r="AA1504" s="121"/>
      <c r="AB1504" s="121"/>
    </row>
    <row r="1505" spans="2:29" ht="13.5" customHeight="1">
      <c r="B1505" s="98" t="str">
        <f>CONCATENATE("- Documento de Solicitação: ",INFO!$B$24)</f>
        <v>- Documento de Solicitação: TESTE AZUL</v>
      </c>
      <c r="C1505" s="121"/>
      <c r="D1505" s="121"/>
      <c r="E1505" s="121"/>
      <c r="F1505" s="121"/>
      <c r="G1505" s="121"/>
      <c r="H1505" s="121"/>
      <c r="I1505" s="121"/>
      <c r="J1505" s="121"/>
      <c r="K1505" s="121"/>
      <c r="L1505" s="121"/>
      <c r="M1505" s="121"/>
      <c r="N1505" s="121"/>
      <c r="O1505" s="121"/>
      <c r="P1505" s="121"/>
      <c r="Q1505" s="121"/>
      <c r="R1505" s="121"/>
      <c r="S1505" s="121"/>
      <c r="T1505" s="121"/>
      <c r="U1505" s="121"/>
      <c r="V1505" s="121"/>
      <c r="W1505" s="121"/>
      <c r="X1505" s="121"/>
      <c r="Y1505" s="121"/>
      <c r="Z1505" s="121"/>
      <c r="AA1505" s="121"/>
      <c r="AB1505" s="121"/>
    </row>
    <row r="1506" spans="2:29" ht="13.5" customHeight="1">
      <c r="B1506" s="98" t="str">
        <f>CONCATENATE("- Local: ",INFO!$C$18)</f>
        <v>- Local: GUAIRA - PR</v>
      </c>
      <c r="C1506" s="121"/>
      <c r="D1506" s="121"/>
      <c r="E1506" s="121"/>
      <c r="F1506" s="121"/>
      <c r="G1506" s="121"/>
      <c r="H1506" s="121"/>
      <c r="I1506" s="121"/>
      <c r="J1506" s="121"/>
      <c r="K1506" s="121"/>
      <c r="L1506" s="121"/>
      <c r="M1506" s="121"/>
      <c r="N1506" s="121"/>
      <c r="O1506" s="121"/>
      <c r="P1506" s="121"/>
      <c r="Q1506" s="121"/>
      <c r="R1506" s="121"/>
      <c r="S1506" s="121"/>
      <c r="T1506" s="121"/>
      <c r="U1506" s="121"/>
      <c r="V1506" s="121"/>
      <c r="W1506" s="121"/>
      <c r="X1506" s="121"/>
      <c r="Y1506" s="121"/>
      <c r="Z1506" s="121"/>
      <c r="AA1506" s="121"/>
      <c r="AB1506" s="121"/>
    </row>
    <row r="1507" spans="2:29" ht="13.5" customHeight="1">
      <c r="B1507" s="98" t="str">
        <f>CONCATENATE("- Periodo: ",INFO!$C$10," a ",INFO!$C$19)</f>
        <v xml:space="preserve">- Periodo: 22/7/2025  a 23/8/2025 </v>
      </c>
      <c r="C1507" s="121"/>
      <c r="D1507" s="121"/>
      <c r="E1507" s="121"/>
      <c r="F1507" s="121"/>
      <c r="G1507" s="121"/>
      <c r="H1507" s="121"/>
      <c r="I1507" s="121"/>
      <c r="J1507" s="121"/>
      <c r="K1507" s="121"/>
      <c r="L1507" s="121"/>
      <c r="M1507" s="121"/>
      <c r="N1507" s="121"/>
      <c r="O1507" s="121"/>
      <c r="P1507" s="121"/>
      <c r="Q1507" s="121"/>
      <c r="R1507" s="121"/>
      <c r="S1507" s="121"/>
      <c r="T1507" s="121"/>
      <c r="U1507" s="121"/>
      <c r="V1507" s="121"/>
      <c r="W1507" s="121"/>
      <c r="X1507" s="121"/>
      <c r="Y1507" s="121"/>
      <c r="Z1507" s="121"/>
      <c r="AA1507" s="121"/>
      <c r="AB1507" s="121"/>
    </row>
    <row r="1508" spans="2:29" ht="13.5" customHeight="1">
      <c r="B1508" s="98" t="str">
        <f>CONCATENATE("- Nr Dias: ",INFO!$C$20)</f>
        <v>- Nr Dias: 33</v>
      </c>
      <c r="C1508" s="121"/>
      <c r="D1508" s="121"/>
      <c r="E1508" s="121"/>
      <c r="F1508" s="121"/>
      <c r="G1508" s="121"/>
      <c r="H1508" s="121"/>
      <c r="I1508" s="121"/>
      <c r="J1508" s="121"/>
      <c r="K1508" s="121"/>
      <c r="L1508" s="121"/>
      <c r="M1508" s="121"/>
      <c r="N1508" s="121"/>
      <c r="O1508" s="121"/>
      <c r="P1508" s="121"/>
      <c r="Q1508" s="121"/>
      <c r="R1508" s="121"/>
      <c r="S1508" s="121"/>
      <c r="T1508" s="121"/>
      <c r="U1508" s="121"/>
      <c r="V1508" s="121"/>
      <c r="W1508" s="121"/>
      <c r="X1508" s="121"/>
      <c r="Y1508" s="121"/>
      <c r="Z1508" s="121"/>
      <c r="AA1508" s="121"/>
      <c r="AB1508" s="121"/>
    </row>
    <row r="1509" spans="2:29" ht="13.5" customHeight="1">
      <c r="B1509" s="98" t="str">
        <f>CONCATENATE("- Valor Estimado: R$ ",INDEX(QSGR!$J$16:$J$11170,AC1502))</f>
        <v xml:space="preserve">- Valor Estimado: R$ </v>
      </c>
      <c r="C1509" s="121"/>
      <c r="D1509" s="121"/>
      <c r="E1509" s="121"/>
      <c r="F1509" s="121"/>
      <c r="G1509" s="121"/>
      <c r="H1509" s="121"/>
      <c r="I1509" s="121"/>
      <c r="J1509" s="121"/>
      <c r="K1509" s="121"/>
      <c r="L1509" s="121"/>
      <c r="M1509" s="121"/>
      <c r="N1509" s="121"/>
      <c r="O1509" s="121"/>
      <c r="P1509" s="121"/>
      <c r="Q1509" s="121"/>
      <c r="R1509" s="121"/>
      <c r="S1509" s="121"/>
      <c r="T1509" s="121"/>
      <c r="U1509" s="121"/>
      <c r="V1509" s="121"/>
      <c r="W1509" s="121"/>
      <c r="X1509" s="121"/>
      <c r="Y1509" s="121"/>
      <c r="Z1509" s="121"/>
      <c r="AA1509" s="121"/>
      <c r="AB1509" s="121"/>
    </row>
    <row r="1510" spans="2:29" ht="13.5" customHeight="1">
      <c r="B1510" s="100"/>
      <c r="C1510" s="121"/>
      <c r="D1510" s="121"/>
      <c r="E1510" s="121"/>
      <c r="F1510" s="121"/>
      <c r="G1510" s="121"/>
      <c r="H1510" s="121"/>
      <c r="I1510" s="121"/>
      <c r="J1510" s="121"/>
      <c r="K1510" s="121"/>
      <c r="L1510" s="121"/>
      <c r="M1510" s="121"/>
      <c r="N1510" s="121"/>
      <c r="O1510" s="121"/>
      <c r="P1510" s="121"/>
      <c r="Q1510" s="121"/>
      <c r="R1510" s="121"/>
      <c r="S1510" s="121"/>
      <c r="T1510" s="121"/>
      <c r="U1510" s="121"/>
      <c r="V1510" s="121"/>
      <c r="W1510" s="121"/>
      <c r="X1510" s="121"/>
      <c r="Y1510" s="121"/>
      <c r="Z1510" s="121"/>
      <c r="AA1510" s="121"/>
      <c r="AB1510" s="121"/>
    </row>
    <row r="1511" spans="2:29" ht="13.5" customHeight="1">
      <c r="B1511" s="98" t="s">
        <v>55</v>
      </c>
      <c r="C1511" s="121"/>
      <c r="D1511" s="121"/>
      <c r="E1511" s="121"/>
      <c r="F1511" s="121"/>
      <c r="G1511" s="121"/>
      <c r="H1511" s="121"/>
      <c r="I1511" s="121"/>
      <c r="J1511" s="121"/>
      <c r="K1511" s="121"/>
      <c r="L1511" s="121"/>
      <c r="M1511" s="121"/>
      <c r="N1511" s="121"/>
      <c r="O1511" s="121"/>
      <c r="P1511" s="121"/>
      <c r="Q1511" s="121"/>
      <c r="R1511" s="121"/>
      <c r="S1511" s="121"/>
      <c r="T1511" s="121"/>
      <c r="U1511" s="121"/>
      <c r="V1511" s="121"/>
      <c r="W1511" s="121"/>
      <c r="X1511" s="121"/>
      <c r="Y1511" s="121"/>
      <c r="Z1511" s="121"/>
      <c r="AA1511" s="121"/>
      <c r="AB1511" s="121"/>
      <c r="AC1511" s="37">
        <f>AC1502+1</f>
        <v>168</v>
      </c>
    </row>
    <row r="1512" spans="2:29" ht="13.5" customHeight="1">
      <c r="B1512" s="99">
        <f>INDEX(QSGR!$B$16:$B$1570,AC1511)</f>
        <v>0</v>
      </c>
      <c r="C1512" s="121"/>
      <c r="D1512" s="121"/>
      <c r="E1512" s="97">
        <f>INDEX(QSGR!$D$16:$D$11170,AC1511)</f>
        <v>0</v>
      </c>
      <c r="F1512" s="121"/>
      <c r="G1512" s="121"/>
      <c r="H1512" s="121"/>
      <c r="I1512" s="121"/>
      <c r="J1512" s="121"/>
      <c r="K1512" s="121"/>
      <c r="L1512" s="121"/>
      <c r="M1512" s="121"/>
      <c r="N1512" s="121"/>
      <c r="O1512" s="121"/>
      <c r="P1512" s="121"/>
      <c r="Q1512" s="121"/>
      <c r="R1512" s="121"/>
      <c r="S1512" s="121"/>
      <c r="T1512" s="121"/>
      <c r="U1512" s="121"/>
      <c r="V1512" s="121"/>
      <c r="W1512" s="121"/>
      <c r="X1512" s="121"/>
      <c r="Y1512" s="121"/>
      <c r="Z1512" s="121"/>
      <c r="AA1512" s="121"/>
      <c r="AB1512" s="121"/>
    </row>
    <row r="1513" spans="2:29" ht="13.5" customHeight="1">
      <c r="B1513" s="96" t="str">
        <f>CONCATENATE("- Evento: ",INFO!$B$22)</f>
        <v>- Evento: PARTICIPAR DA OPERAÇÃO HORUS.</v>
      </c>
      <c r="C1513" s="121"/>
      <c r="D1513" s="121"/>
      <c r="E1513" s="121"/>
      <c r="F1513" s="121"/>
      <c r="G1513" s="121"/>
      <c r="H1513" s="121"/>
      <c r="I1513" s="121"/>
      <c r="J1513" s="121"/>
      <c r="K1513" s="121"/>
      <c r="L1513" s="121"/>
      <c r="M1513" s="121"/>
      <c r="N1513" s="121"/>
      <c r="O1513" s="121"/>
      <c r="P1513" s="121"/>
      <c r="Q1513" s="121"/>
      <c r="R1513" s="121"/>
      <c r="S1513" s="121"/>
      <c r="T1513" s="121"/>
      <c r="U1513" s="121"/>
      <c r="V1513" s="121"/>
      <c r="W1513" s="121"/>
      <c r="X1513" s="121"/>
      <c r="Y1513" s="121"/>
      <c r="Z1513" s="121"/>
      <c r="AA1513" s="121"/>
      <c r="AB1513" s="121"/>
    </row>
    <row r="1514" spans="2:29" ht="13.5" customHeight="1">
      <c r="B1514" s="98" t="str">
        <f>CONCATENATE("- Documento de Solicitação: ",INFO!$B$24)</f>
        <v>- Documento de Solicitação: TESTE AZUL</v>
      </c>
      <c r="C1514" s="121"/>
      <c r="D1514" s="121"/>
      <c r="E1514" s="121"/>
      <c r="F1514" s="121"/>
      <c r="G1514" s="121"/>
      <c r="H1514" s="121"/>
      <c r="I1514" s="121"/>
      <c r="J1514" s="121"/>
      <c r="K1514" s="121"/>
      <c r="L1514" s="121"/>
      <c r="M1514" s="121"/>
      <c r="N1514" s="121"/>
      <c r="O1514" s="121"/>
      <c r="P1514" s="121"/>
      <c r="Q1514" s="121"/>
      <c r="R1514" s="121"/>
      <c r="S1514" s="121"/>
      <c r="T1514" s="121"/>
      <c r="U1514" s="121"/>
      <c r="V1514" s="121"/>
      <c r="W1514" s="121"/>
      <c r="X1514" s="121"/>
      <c r="Y1514" s="121"/>
      <c r="Z1514" s="121"/>
      <c r="AA1514" s="121"/>
      <c r="AB1514" s="121"/>
    </row>
    <row r="1515" spans="2:29" ht="13.5" customHeight="1">
      <c r="B1515" s="98" t="str">
        <f>CONCATENATE("- Local: ",INFO!$C$18)</f>
        <v>- Local: GUAIRA - PR</v>
      </c>
      <c r="C1515" s="121"/>
      <c r="D1515" s="121"/>
      <c r="E1515" s="121"/>
      <c r="F1515" s="121"/>
      <c r="G1515" s="121"/>
      <c r="H1515" s="121"/>
      <c r="I1515" s="121"/>
      <c r="J1515" s="121"/>
      <c r="K1515" s="121"/>
      <c r="L1515" s="121"/>
      <c r="M1515" s="121"/>
      <c r="N1515" s="121"/>
      <c r="O1515" s="121"/>
      <c r="P1515" s="121"/>
      <c r="Q1515" s="121"/>
      <c r="R1515" s="121"/>
      <c r="S1515" s="121"/>
      <c r="T1515" s="121"/>
      <c r="U1515" s="121"/>
      <c r="V1515" s="121"/>
      <c r="W1515" s="121"/>
      <c r="X1515" s="121"/>
      <c r="Y1515" s="121"/>
      <c r="Z1515" s="121"/>
      <c r="AA1515" s="121"/>
      <c r="AB1515" s="121"/>
    </row>
    <row r="1516" spans="2:29" ht="13.5" customHeight="1">
      <c r="B1516" s="98" t="str">
        <f>CONCATENATE("- Periodo: ",INFO!$C$10," a ",INFO!$C$19)</f>
        <v xml:space="preserve">- Periodo: 22/7/2025  a 23/8/2025 </v>
      </c>
      <c r="C1516" s="121"/>
      <c r="D1516" s="121"/>
      <c r="E1516" s="121"/>
      <c r="F1516" s="121"/>
      <c r="G1516" s="121"/>
      <c r="H1516" s="121"/>
      <c r="I1516" s="121"/>
      <c r="J1516" s="121"/>
      <c r="K1516" s="121"/>
      <c r="L1516" s="121"/>
      <c r="M1516" s="121"/>
      <c r="N1516" s="121"/>
      <c r="O1516" s="121"/>
      <c r="P1516" s="121"/>
      <c r="Q1516" s="121"/>
      <c r="R1516" s="121"/>
      <c r="S1516" s="121"/>
      <c r="T1516" s="121"/>
      <c r="U1516" s="121"/>
      <c r="V1516" s="121"/>
      <c r="W1516" s="121"/>
      <c r="X1516" s="121"/>
      <c r="Y1516" s="121"/>
      <c r="Z1516" s="121"/>
      <c r="AA1516" s="121"/>
      <c r="AB1516" s="121"/>
    </row>
    <row r="1517" spans="2:29" ht="13.5" customHeight="1">
      <c r="B1517" s="98" t="str">
        <f>CONCATENATE("- Nr Dias: ",INFO!$C$20)</f>
        <v>- Nr Dias: 33</v>
      </c>
      <c r="C1517" s="121"/>
      <c r="D1517" s="121"/>
      <c r="E1517" s="121"/>
      <c r="F1517" s="121"/>
      <c r="G1517" s="121"/>
      <c r="H1517" s="121"/>
      <c r="I1517" s="121"/>
      <c r="J1517" s="121"/>
      <c r="K1517" s="121"/>
      <c r="L1517" s="121"/>
      <c r="M1517" s="121"/>
      <c r="N1517" s="121"/>
      <c r="O1517" s="121"/>
      <c r="P1517" s="121"/>
      <c r="Q1517" s="121"/>
      <c r="R1517" s="121"/>
      <c r="S1517" s="121"/>
      <c r="T1517" s="121"/>
      <c r="U1517" s="121"/>
      <c r="V1517" s="121"/>
      <c r="W1517" s="121"/>
      <c r="X1517" s="121"/>
      <c r="Y1517" s="121"/>
      <c r="Z1517" s="121"/>
      <c r="AA1517" s="121"/>
      <c r="AB1517" s="121"/>
    </row>
    <row r="1518" spans="2:29" ht="13.5" customHeight="1">
      <c r="B1518" s="98" t="str">
        <f>CONCATENATE("- Valor Estimado: R$ ",INDEX(QSGR!$J$16:$J$11170,AC1511))</f>
        <v xml:space="preserve">- Valor Estimado: R$ </v>
      </c>
      <c r="C1518" s="121"/>
      <c r="D1518" s="121"/>
      <c r="E1518" s="121"/>
      <c r="F1518" s="121"/>
      <c r="G1518" s="121"/>
      <c r="H1518" s="121"/>
      <c r="I1518" s="121"/>
      <c r="J1518" s="121"/>
      <c r="K1518" s="121"/>
      <c r="L1518" s="121"/>
      <c r="M1518" s="121"/>
      <c r="N1518" s="121"/>
      <c r="O1518" s="121"/>
      <c r="P1518" s="121"/>
      <c r="Q1518" s="121"/>
      <c r="R1518" s="121"/>
      <c r="S1518" s="121"/>
      <c r="T1518" s="121"/>
      <c r="U1518" s="121"/>
      <c r="V1518" s="121"/>
      <c r="W1518" s="121"/>
      <c r="X1518" s="121"/>
      <c r="Y1518" s="121"/>
      <c r="Z1518" s="121"/>
      <c r="AA1518" s="121"/>
      <c r="AB1518" s="121"/>
    </row>
    <row r="1519" spans="2:29" ht="13.5" customHeight="1">
      <c r="B1519" s="100"/>
      <c r="C1519" s="121"/>
      <c r="D1519" s="121"/>
      <c r="E1519" s="121"/>
      <c r="F1519" s="121"/>
      <c r="G1519" s="121"/>
      <c r="H1519" s="121"/>
      <c r="I1519" s="121"/>
      <c r="J1519" s="121"/>
      <c r="K1519" s="121"/>
      <c r="L1519" s="121"/>
      <c r="M1519" s="121"/>
      <c r="N1519" s="121"/>
      <c r="O1519" s="121"/>
      <c r="P1519" s="121"/>
      <c r="Q1519" s="121"/>
      <c r="R1519" s="121"/>
      <c r="S1519" s="121"/>
      <c r="T1519" s="121"/>
      <c r="U1519" s="121"/>
      <c r="V1519" s="121"/>
      <c r="W1519" s="121"/>
      <c r="X1519" s="121"/>
      <c r="Y1519" s="121"/>
      <c r="Z1519" s="121"/>
      <c r="AA1519" s="121"/>
      <c r="AB1519" s="121"/>
    </row>
    <row r="1520" spans="2:29" ht="13.5" customHeight="1">
      <c r="B1520" s="98" t="s">
        <v>55</v>
      </c>
      <c r="C1520" s="121"/>
      <c r="D1520" s="121"/>
      <c r="E1520" s="121"/>
      <c r="F1520" s="121"/>
      <c r="G1520" s="121"/>
      <c r="H1520" s="121"/>
      <c r="I1520" s="121"/>
      <c r="J1520" s="121"/>
      <c r="K1520" s="121"/>
      <c r="L1520" s="121"/>
      <c r="M1520" s="121"/>
      <c r="N1520" s="121"/>
      <c r="O1520" s="121"/>
      <c r="P1520" s="121"/>
      <c r="Q1520" s="121"/>
      <c r="R1520" s="121"/>
      <c r="S1520" s="121"/>
      <c r="T1520" s="121"/>
      <c r="U1520" s="121"/>
      <c r="V1520" s="121"/>
      <c r="W1520" s="121"/>
      <c r="X1520" s="121"/>
      <c r="Y1520" s="121"/>
      <c r="Z1520" s="121"/>
      <c r="AA1520" s="121"/>
      <c r="AB1520" s="121"/>
      <c r="AC1520" s="37">
        <f>AC1511+1</f>
        <v>169</v>
      </c>
    </row>
    <row r="1521" spans="2:29" ht="13.5" customHeight="1">
      <c r="B1521" s="99">
        <f>INDEX(QSGR!$B$16:$B$1570,AC1520)</f>
        <v>0</v>
      </c>
      <c r="C1521" s="121"/>
      <c r="D1521" s="121"/>
      <c r="E1521" s="97">
        <f>INDEX(QSGR!$D$16:$D$11170,AC1520)</f>
        <v>0</v>
      </c>
      <c r="F1521" s="121"/>
      <c r="G1521" s="121"/>
      <c r="H1521" s="121"/>
      <c r="I1521" s="121"/>
      <c r="J1521" s="121"/>
      <c r="K1521" s="121"/>
      <c r="L1521" s="121"/>
      <c r="M1521" s="121"/>
      <c r="N1521" s="121"/>
      <c r="O1521" s="121"/>
      <c r="P1521" s="121"/>
      <c r="Q1521" s="121"/>
      <c r="R1521" s="121"/>
      <c r="S1521" s="121"/>
      <c r="T1521" s="121"/>
      <c r="U1521" s="121"/>
      <c r="V1521" s="121"/>
      <c r="W1521" s="121"/>
      <c r="X1521" s="121"/>
      <c r="Y1521" s="121"/>
      <c r="Z1521" s="121"/>
      <c r="AA1521" s="121"/>
      <c r="AB1521" s="121"/>
    </row>
    <row r="1522" spans="2:29" ht="13.5" customHeight="1">
      <c r="B1522" s="96" t="str">
        <f>CONCATENATE("- Evento: ",INFO!$B$22)</f>
        <v>- Evento: PARTICIPAR DA OPERAÇÃO HORUS.</v>
      </c>
      <c r="C1522" s="121"/>
      <c r="D1522" s="121"/>
      <c r="E1522" s="121"/>
      <c r="F1522" s="121"/>
      <c r="G1522" s="121"/>
      <c r="H1522" s="121"/>
      <c r="I1522" s="121"/>
      <c r="J1522" s="121"/>
      <c r="K1522" s="121"/>
      <c r="L1522" s="121"/>
      <c r="M1522" s="121"/>
      <c r="N1522" s="121"/>
      <c r="O1522" s="121"/>
      <c r="P1522" s="121"/>
      <c r="Q1522" s="121"/>
      <c r="R1522" s="121"/>
      <c r="S1522" s="121"/>
      <c r="T1522" s="121"/>
      <c r="U1522" s="121"/>
      <c r="V1522" s="121"/>
      <c r="W1522" s="121"/>
      <c r="X1522" s="121"/>
      <c r="Y1522" s="121"/>
      <c r="Z1522" s="121"/>
      <c r="AA1522" s="121"/>
      <c r="AB1522" s="121"/>
    </row>
    <row r="1523" spans="2:29" ht="13.5" customHeight="1">
      <c r="B1523" s="98" t="str">
        <f>CONCATENATE("- Documento de Solicitação: ",INFO!$B$24)</f>
        <v>- Documento de Solicitação: TESTE AZUL</v>
      </c>
      <c r="C1523" s="121"/>
      <c r="D1523" s="121"/>
      <c r="E1523" s="121"/>
      <c r="F1523" s="121"/>
      <c r="G1523" s="121"/>
      <c r="H1523" s="121"/>
      <c r="I1523" s="121"/>
      <c r="J1523" s="121"/>
      <c r="K1523" s="121"/>
      <c r="L1523" s="121"/>
      <c r="M1523" s="121"/>
      <c r="N1523" s="121"/>
      <c r="O1523" s="121"/>
      <c r="P1523" s="121"/>
      <c r="Q1523" s="121"/>
      <c r="R1523" s="121"/>
      <c r="S1523" s="121"/>
      <c r="T1523" s="121"/>
      <c r="U1523" s="121"/>
      <c r="V1523" s="121"/>
      <c r="W1523" s="121"/>
      <c r="X1523" s="121"/>
      <c r="Y1523" s="121"/>
      <c r="Z1523" s="121"/>
      <c r="AA1523" s="121"/>
      <c r="AB1523" s="121"/>
    </row>
    <row r="1524" spans="2:29" ht="13.5" customHeight="1">
      <c r="B1524" s="98" t="str">
        <f>CONCATENATE("- Local: ",INFO!$C$18)</f>
        <v>- Local: GUAIRA - PR</v>
      </c>
      <c r="C1524" s="121"/>
      <c r="D1524" s="121"/>
      <c r="E1524" s="121"/>
      <c r="F1524" s="121"/>
      <c r="G1524" s="121"/>
      <c r="H1524" s="121"/>
      <c r="I1524" s="121"/>
      <c r="J1524" s="121"/>
      <c r="K1524" s="121"/>
      <c r="L1524" s="121"/>
      <c r="M1524" s="121"/>
      <c r="N1524" s="121"/>
      <c r="O1524" s="121"/>
      <c r="P1524" s="121"/>
      <c r="Q1524" s="121"/>
      <c r="R1524" s="121"/>
      <c r="S1524" s="121"/>
      <c r="T1524" s="121"/>
      <c r="U1524" s="121"/>
      <c r="V1524" s="121"/>
      <c r="W1524" s="121"/>
      <c r="X1524" s="121"/>
      <c r="Y1524" s="121"/>
      <c r="Z1524" s="121"/>
      <c r="AA1524" s="121"/>
      <c r="AB1524" s="121"/>
    </row>
    <row r="1525" spans="2:29" ht="13.5" customHeight="1">
      <c r="B1525" s="98" t="str">
        <f>CONCATENATE("- Periodo: ",INFO!$C$10," a ",INFO!$C$19)</f>
        <v xml:space="preserve">- Periodo: 22/7/2025  a 23/8/2025 </v>
      </c>
      <c r="C1525" s="121"/>
      <c r="D1525" s="121"/>
      <c r="E1525" s="121"/>
      <c r="F1525" s="121"/>
      <c r="G1525" s="121"/>
      <c r="H1525" s="121"/>
      <c r="I1525" s="121"/>
      <c r="J1525" s="121"/>
      <c r="K1525" s="121"/>
      <c r="L1525" s="121"/>
      <c r="M1525" s="121"/>
      <c r="N1525" s="121"/>
      <c r="O1525" s="121"/>
      <c r="P1525" s="121"/>
      <c r="Q1525" s="121"/>
      <c r="R1525" s="121"/>
      <c r="S1525" s="121"/>
      <c r="T1525" s="121"/>
      <c r="U1525" s="121"/>
      <c r="V1525" s="121"/>
      <c r="W1525" s="121"/>
      <c r="X1525" s="121"/>
      <c r="Y1525" s="121"/>
      <c r="Z1525" s="121"/>
      <c r="AA1525" s="121"/>
      <c r="AB1525" s="121"/>
    </row>
    <row r="1526" spans="2:29" ht="13.5" customHeight="1">
      <c r="B1526" s="98" t="str">
        <f>CONCATENATE("- Nr Dias: ",INFO!$C$20)</f>
        <v>- Nr Dias: 33</v>
      </c>
      <c r="C1526" s="121"/>
      <c r="D1526" s="121"/>
      <c r="E1526" s="121"/>
      <c r="F1526" s="121"/>
      <c r="G1526" s="121"/>
      <c r="H1526" s="121"/>
      <c r="I1526" s="121"/>
      <c r="J1526" s="121"/>
      <c r="K1526" s="121"/>
      <c r="L1526" s="121"/>
      <c r="M1526" s="121"/>
      <c r="N1526" s="121"/>
      <c r="O1526" s="121"/>
      <c r="P1526" s="121"/>
      <c r="Q1526" s="121"/>
      <c r="R1526" s="121"/>
      <c r="S1526" s="121"/>
      <c r="T1526" s="121"/>
      <c r="U1526" s="121"/>
      <c r="V1526" s="121"/>
      <c r="W1526" s="121"/>
      <c r="X1526" s="121"/>
      <c r="Y1526" s="121"/>
      <c r="Z1526" s="121"/>
      <c r="AA1526" s="121"/>
      <c r="AB1526" s="121"/>
    </row>
    <row r="1527" spans="2:29" ht="13.5" customHeight="1">
      <c r="B1527" s="98" t="str">
        <f>CONCATENATE("- Valor Estimado: R$ ",INDEX(QSGR!$J$16:$J$11170,AC1520))</f>
        <v xml:space="preserve">- Valor Estimado: R$ </v>
      </c>
      <c r="C1527" s="121"/>
      <c r="D1527" s="121"/>
      <c r="E1527" s="121"/>
      <c r="F1527" s="121"/>
      <c r="G1527" s="121"/>
      <c r="H1527" s="121"/>
      <c r="I1527" s="121"/>
      <c r="J1527" s="121"/>
      <c r="K1527" s="121"/>
      <c r="L1527" s="121"/>
      <c r="M1527" s="121"/>
      <c r="N1527" s="121"/>
      <c r="O1527" s="121"/>
      <c r="P1527" s="121"/>
      <c r="Q1527" s="121"/>
      <c r="R1527" s="121"/>
      <c r="S1527" s="121"/>
      <c r="T1527" s="121"/>
      <c r="U1527" s="121"/>
      <c r="V1527" s="121"/>
      <c r="W1527" s="121"/>
      <c r="X1527" s="121"/>
      <c r="Y1527" s="121"/>
      <c r="Z1527" s="121"/>
      <c r="AA1527" s="121"/>
      <c r="AB1527" s="121"/>
    </row>
    <row r="1528" spans="2:29" ht="13.5" customHeight="1">
      <c r="B1528" s="100"/>
      <c r="C1528" s="121"/>
      <c r="D1528" s="121"/>
      <c r="E1528" s="121"/>
      <c r="F1528" s="121"/>
      <c r="G1528" s="121"/>
      <c r="H1528" s="121"/>
      <c r="I1528" s="121"/>
      <c r="J1528" s="121"/>
      <c r="K1528" s="121"/>
      <c r="L1528" s="121"/>
      <c r="M1528" s="121"/>
      <c r="N1528" s="121"/>
      <c r="O1528" s="121"/>
      <c r="P1528" s="121"/>
      <c r="Q1528" s="121"/>
      <c r="R1528" s="121"/>
      <c r="S1528" s="121"/>
      <c r="T1528" s="121"/>
      <c r="U1528" s="121"/>
      <c r="V1528" s="121"/>
      <c r="W1528" s="121"/>
      <c r="X1528" s="121"/>
      <c r="Y1528" s="121"/>
      <c r="Z1528" s="121"/>
      <c r="AA1528" s="121"/>
      <c r="AB1528" s="121"/>
    </row>
    <row r="1529" spans="2:29" ht="13.5" customHeight="1">
      <c r="B1529" s="98" t="s">
        <v>55</v>
      </c>
      <c r="C1529" s="121"/>
      <c r="D1529" s="121"/>
      <c r="E1529" s="121"/>
      <c r="F1529" s="121"/>
      <c r="G1529" s="121"/>
      <c r="H1529" s="121"/>
      <c r="I1529" s="121"/>
      <c r="J1529" s="121"/>
      <c r="K1529" s="121"/>
      <c r="L1529" s="121"/>
      <c r="M1529" s="121"/>
      <c r="N1529" s="121"/>
      <c r="O1529" s="121"/>
      <c r="P1529" s="121"/>
      <c r="Q1529" s="121"/>
      <c r="R1529" s="121"/>
      <c r="S1529" s="121"/>
      <c r="T1529" s="121"/>
      <c r="U1529" s="121"/>
      <c r="V1529" s="121"/>
      <c r="W1529" s="121"/>
      <c r="X1529" s="121"/>
      <c r="Y1529" s="121"/>
      <c r="Z1529" s="121"/>
      <c r="AA1529" s="121"/>
      <c r="AB1529" s="121"/>
      <c r="AC1529" s="37">
        <f>AC1520+1</f>
        <v>170</v>
      </c>
    </row>
    <row r="1530" spans="2:29" ht="13.5" customHeight="1">
      <c r="B1530" s="99">
        <f>INDEX(QSGR!$B$16:$B$1570,AC1529)</f>
        <v>0</v>
      </c>
      <c r="C1530" s="121"/>
      <c r="D1530" s="121"/>
      <c r="E1530" s="97">
        <f>INDEX(QSGR!$D$16:$D$11170,AC1529)</f>
        <v>0</v>
      </c>
      <c r="F1530" s="121"/>
      <c r="G1530" s="121"/>
      <c r="H1530" s="121"/>
      <c r="I1530" s="121"/>
      <c r="J1530" s="121"/>
      <c r="K1530" s="121"/>
      <c r="L1530" s="121"/>
      <c r="M1530" s="121"/>
      <c r="N1530" s="121"/>
      <c r="O1530" s="121"/>
      <c r="P1530" s="121"/>
      <c r="Q1530" s="121"/>
      <c r="R1530" s="121"/>
      <c r="S1530" s="121"/>
      <c r="T1530" s="121"/>
      <c r="U1530" s="121"/>
      <c r="V1530" s="121"/>
      <c r="W1530" s="121"/>
      <c r="X1530" s="121"/>
      <c r="Y1530" s="121"/>
      <c r="Z1530" s="121"/>
      <c r="AA1530" s="121"/>
      <c r="AB1530" s="121"/>
    </row>
    <row r="1531" spans="2:29" ht="13.5" customHeight="1">
      <c r="B1531" s="96" t="str">
        <f>CONCATENATE("- Evento: ",INFO!$B$22)</f>
        <v>- Evento: PARTICIPAR DA OPERAÇÃO HORUS.</v>
      </c>
      <c r="C1531" s="121"/>
      <c r="D1531" s="121"/>
      <c r="E1531" s="121"/>
      <c r="F1531" s="121"/>
      <c r="G1531" s="121"/>
      <c r="H1531" s="121"/>
      <c r="I1531" s="121"/>
      <c r="J1531" s="121"/>
      <c r="K1531" s="121"/>
      <c r="L1531" s="121"/>
      <c r="M1531" s="121"/>
      <c r="N1531" s="121"/>
      <c r="O1531" s="121"/>
      <c r="P1531" s="121"/>
      <c r="Q1531" s="121"/>
      <c r="R1531" s="121"/>
      <c r="S1531" s="121"/>
      <c r="T1531" s="121"/>
      <c r="U1531" s="121"/>
      <c r="V1531" s="121"/>
      <c r="W1531" s="121"/>
      <c r="X1531" s="121"/>
      <c r="Y1531" s="121"/>
      <c r="Z1531" s="121"/>
      <c r="AA1531" s="121"/>
      <c r="AB1531" s="121"/>
    </row>
    <row r="1532" spans="2:29" ht="13.5" customHeight="1">
      <c r="B1532" s="98" t="str">
        <f>CONCATENATE("- Documento de Solicitação: ",INFO!$B$24)</f>
        <v>- Documento de Solicitação: TESTE AZUL</v>
      </c>
      <c r="C1532" s="121"/>
      <c r="D1532" s="121"/>
      <c r="E1532" s="121"/>
      <c r="F1532" s="121"/>
      <c r="G1532" s="121"/>
      <c r="H1532" s="121"/>
      <c r="I1532" s="121"/>
      <c r="J1532" s="121"/>
      <c r="K1532" s="121"/>
      <c r="L1532" s="121"/>
      <c r="M1532" s="121"/>
      <c r="N1532" s="121"/>
      <c r="O1532" s="121"/>
      <c r="P1532" s="121"/>
      <c r="Q1532" s="121"/>
      <c r="R1532" s="121"/>
      <c r="S1532" s="121"/>
      <c r="T1532" s="121"/>
      <c r="U1532" s="121"/>
      <c r="V1532" s="121"/>
      <c r="W1532" s="121"/>
      <c r="X1532" s="121"/>
      <c r="Y1532" s="121"/>
      <c r="Z1532" s="121"/>
      <c r="AA1532" s="121"/>
      <c r="AB1532" s="121"/>
    </row>
    <row r="1533" spans="2:29" ht="13.5" customHeight="1">
      <c r="B1533" s="98" t="str">
        <f>CONCATENATE("- Local: ",INFO!$C$18)</f>
        <v>- Local: GUAIRA - PR</v>
      </c>
      <c r="C1533" s="121"/>
      <c r="D1533" s="121"/>
      <c r="E1533" s="121"/>
      <c r="F1533" s="121"/>
      <c r="G1533" s="121"/>
      <c r="H1533" s="121"/>
      <c r="I1533" s="121"/>
      <c r="J1533" s="121"/>
      <c r="K1533" s="121"/>
      <c r="L1533" s="121"/>
      <c r="M1533" s="121"/>
      <c r="N1533" s="121"/>
      <c r="O1533" s="121"/>
      <c r="P1533" s="121"/>
      <c r="Q1533" s="121"/>
      <c r="R1533" s="121"/>
      <c r="S1533" s="121"/>
      <c r="T1533" s="121"/>
      <c r="U1533" s="121"/>
      <c r="V1533" s="121"/>
      <c r="W1533" s="121"/>
      <c r="X1533" s="121"/>
      <c r="Y1533" s="121"/>
      <c r="Z1533" s="121"/>
      <c r="AA1533" s="121"/>
      <c r="AB1533" s="121"/>
    </row>
    <row r="1534" spans="2:29" ht="13.5" customHeight="1">
      <c r="B1534" s="98" t="str">
        <f>CONCATENATE("- Periodo: ",INFO!$C$10," a ",INFO!$C$19)</f>
        <v xml:space="preserve">- Periodo: 22/7/2025  a 23/8/2025 </v>
      </c>
      <c r="C1534" s="121"/>
      <c r="D1534" s="121"/>
      <c r="E1534" s="121"/>
      <c r="F1534" s="121"/>
      <c r="G1534" s="121"/>
      <c r="H1534" s="121"/>
      <c r="I1534" s="121"/>
      <c r="J1534" s="121"/>
      <c r="K1534" s="121"/>
      <c r="L1534" s="121"/>
      <c r="M1534" s="121"/>
      <c r="N1534" s="121"/>
      <c r="O1534" s="121"/>
      <c r="P1534" s="121"/>
      <c r="Q1534" s="121"/>
      <c r="R1534" s="121"/>
      <c r="S1534" s="121"/>
      <c r="T1534" s="121"/>
      <c r="U1534" s="121"/>
      <c r="V1534" s="121"/>
      <c r="W1534" s="121"/>
      <c r="X1534" s="121"/>
      <c r="Y1534" s="121"/>
      <c r="Z1534" s="121"/>
      <c r="AA1534" s="121"/>
      <c r="AB1534" s="121"/>
    </row>
    <row r="1535" spans="2:29" ht="13.5" customHeight="1">
      <c r="B1535" s="98" t="str">
        <f>CONCATENATE("- Nr Dias: ",INFO!$C$20)</f>
        <v>- Nr Dias: 33</v>
      </c>
      <c r="C1535" s="121"/>
      <c r="D1535" s="121"/>
      <c r="E1535" s="121"/>
      <c r="F1535" s="121"/>
      <c r="G1535" s="121"/>
      <c r="H1535" s="121"/>
      <c r="I1535" s="121"/>
      <c r="J1535" s="121"/>
      <c r="K1535" s="121"/>
      <c r="L1535" s="121"/>
      <c r="M1535" s="121"/>
      <c r="N1535" s="121"/>
      <c r="O1535" s="121"/>
      <c r="P1535" s="121"/>
      <c r="Q1535" s="121"/>
      <c r="R1535" s="121"/>
      <c r="S1535" s="121"/>
      <c r="T1535" s="121"/>
      <c r="U1535" s="121"/>
      <c r="V1535" s="121"/>
      <c r="W1535" s="121"/>
      <c r="X1535" s="121"/>
      <c r="Y1535" s="121"/>
      <c r="Z1535" s="121"/>
      <c r="AA1535" s="121"/>
      <c r="AB1535" s="121"/>
    </row>
    <row r="1536" spans="2:29" ht="13.5" customHeight="1">
      <c r="B1536" s="98" t="str">
        <f>CONCATENATE("- Valor Estimado: R$ ",INDEX(QSGR!$J$16:$J$11170,AC1529))</f>
        <v xml:space="preserve">- Valor Estimado: R$ </v>
      </c>
      <c r="C1536" s="121"/>
      <c r="D1536" s="121"/>
      <c r="E1536" s="121"/>
      <c r="F1536" s="121"/>
      <c r="G1536" s="121"/>
      <c r="H1536" s="121"/>
      <c r="I1536" s="121"/>
      <c r="J1536" s="121"/>
      <c r="K1536" s="121"/>
      <c r="L1536" s="121"/>
      <c r="M1536" s="121"/>
      <c r="N1536" s="121"/>
      <c r="O1536" s="121"/>
      <c r="P1536" s="121"/>
      <c r="Q1536" s="121"/>
      <c r="R1536" s="121"/>
      <c r="S1536" s="121"/>
      <c r="T1536" s="121"/>
      <c r="U1536" s="121"/>
      <c r="V1536" s="121"/>
      <c r="W1536" s="121"/>
      <c r="X1536" s="121"/>
      <c r="Y1536" s="121"/>
      <c r="Z1536" s="121"/>
      <c r="AA1536" s="121"/>
      <c r="AB1536" s="121"/>
    </row>
    <row r="1537" spans="2:29" ht="13.5" customHeight="1">
      <c r="B1537" s="100"/>
      <c r="C1537" s="121"/>
      <c r="D1537" s="121"/>
      <c r="E1537" s="121"/>
      <c r="F1537" s="121"/>
      <c r="G1537" s="121"/>
      <c r="H1537" s="121"/>
      <c r="I1537" s="121"/>
      <c r="J1537" s="121"/>
      <c r="K1537" s="121"/>
      <c r="L1537" s="121"/>
      <c r="M1537" s="121"/>
      <c r="N1537" s="121"/>
      <c r="O1537" s="121"/>
      <c r="P1537" s="121"/>
      <c r="Q1537" s="121"/>
      <c r="R1537" s="121"/>
      <c r="S1537" s="121"/>
      <c r="T1537" s="121"/>
      <c r="U1537" s="121"/>
      <c r="V1537" s="121"/>
      <c r="W1537" s="121"/>
      <c r="X1537" s="121"/>
      <c r="Y1537" s="121"/>
      <c r="Z1537" s="121"/>
      <c r="AA1537" s="121"/>
      <c r="AB1537" s="121"/>
    </row>
    <row r="1538" spans="2:29" ht="13.5" customHeight="1">
      <c r="B1538" s="98" t="s">
        <v>55</v>
      </c>
      <c r="C1538" s="121"/>
      <c r="D1538" s="121"/>
      <c r="E1538" s="121"/>
      <c r="F1538" s="121"/>
      <c r="G1538" s="121"/>
      <c r="H1538" s="121"/>
      <c r="I1538" s="121"/>
      <c r="J1538" s="121"/>
      <c r="K1538" s="121"/>
      <c r="L1538" s="121"/>
      <c r="M1538" s="121"/>
      <c r="N1538" s="121"/>
      <c r="O1538" s="121"/>
      <c r="P1538" s="121"/>
      <c r="Q1538" s="121"/>
      <c r="R1538" s="121"/>
      <c r="S1538" s="121"/>
      <c r="T1538" s="121"/>
      <c r="U1538" s="121"/>
      <c r="V1538" s="121"/>
      <c r="W1538" s="121"/>
      <c r="X1538" s="121"/>
      <c r="Y1538" s="121"/>
      <c r="Z1538" s="121"/>
      <c r="AA1538" s="121"/>
      <c r="AB1538" s="121"/>
      <c r="AC1538" s="37">
        <f>AC1529+1</f>
        <v>171</v>
      </c>
    </row>
    <row r="1539" spans="2:29" ht="13.5" customHeight="1">
      <c r="B1539" s="99">
        <f>INDEX(QSGR!$B$16:$B$1570,AC1538)</f>
        <v>0</v>
      </c>
      <c r="C1539" s="121"/>
      <c r="D1539" s="121"/>
      <c r="E1539" s="97">
        <f>INDEX(QSGR!$D$16:$D$11170,AC1538)</f>
        <v>0</v>
      </c>
      <c r="F1539" s="121"/>
      <c r="G1539" s="121"/>
      <c r="H1539" s="121"/>
      <c r="I1539" s="121"/>
      <c r="J1539" s="121"/>
      <c r="K1539" s="121"/>
      <c r="L1539" s="121"/>
      <c r="M1539" s="121"/>
      <c r="N1539" s="121"/>
      <c r="O1539" s="121"/>
      <c r="P1539" s="121"/>
      <c r="Q1539" s="121"/>
      <c r="R1539" s="121"/>
      <c r="S1539" s="121"/>
      <c r="T1539" s="121"/>
      <c r="U1539" s="121"/>
      <c r="V1539" s="121"/>
      <c r="W1539" s="121"/>
      <c r="X1539" s="121"/>
      <c r="Y1539" s="121"/>
      <c r="Z1539" s="121"/>
      <c r="AA1539" s="121"/>
      <c r="AB1539" s="121"/>
    </row>
    <row r="1540" spans="2:29" ht="13.5" customHeight="1">
      <c r="B1540" s="96" t="str">
        <f>CONCATENATE("- Evento: ",INFO!$B$22)</f>
        <v>- Evento: PARTICIPAR DA OPERAÇÃO HORUS.</v>
      </c>
      <c r="C1540" s="121"/>
      <c r="D1540" s="121"/>
      <c r="E1540" s="121"/>
      <c r="F1540" s="121"/>
      <c r="G1540" s="121"/>
      <c r="H1540" s="121"/>
      <c r="I1540" s="121"/>
      <c r="J1540" s="121"/>
      <c r="K1540" s="121"/>
      <c r="L1540" s="121"/>
      <c r="M1540" s="121"/>
      <c r="N1540" s="121"/>
      <c r="O1540" s="121"/>
      <c r="P1540" s="121"/>
      <c r="Q1540" s="121"/>
      <c r="R1540" s="121"/>
      <c r="S1540" s="121"/>
      <c r="T1540" s="121"/>
      <c r="U1540" s="121"/>
      <c r="V1540" s="121"/>
      <c r="W1540" s="121"/>
      <c r="X1540" s="121"/>
      <c r="Y1540" s="121"/>
      <c r="Z1540" s="121"/>
      <c r="AA1540" s="121"/>
      <c r="AB1540" s="121"/>
    </row>
    <row r="1541" spans="2:29" ht="13.5" customHeight="1">
      <c r="B1541" s="98" t="str">
        <f>CONCATENATE("- Documento de Solicitação: ",INFO!$B$24)</f>
        <v>- Documento de Solicitação: TESTE AZUL</v>
      </c>
      <c r="C1541" s="121"/>
      <c r="D1541" s="121"/>
      <c r="E1541" s="121"/>
      <c r="F1541" s="121"/>
      <c r="G1541" s="121"/>
      <c r="H1541" s="121"/>
      <c r="I1541" s="121"/>
      <c r="J1541" s="121"/>
      <c r="K1541" s="121"/>
      <c r="L1541" s="121"/>
      <c r="M1541" s="121"/>
      <c r="N1541" s="121"/>
      <c r="O1541" s="121"/>
      <c r="P1541" s="121"/>
      <c r="Q1541" s="121"/>
      <c r="R1541" s="121"/>
      <c r="S1541" s="121"/>
      <c r="T1541" s="121"/>
      <c r="U1541" s="121"/>
      <c r="V1541" s="121"/>
      <c r="W1541" s="121"/>
      <c r="X1541" s="121"/>
      <c r="Y1541" s="121"/>
      <c r="Z1541" s="121"/>
      <c r="AA1541" s="121"/>
      <c r="AB1541" s="121"/>
    </row>
    <row r="1542" spans="2:29" ht="13.5" customHeight="1">
      <c r="B1542" s="98" t="str">
        <f>CONCATENATE("- Local: ",INFO!$C$18)</f>
        <v>- Local: GUAIRA - PR</v>
      </c>
      <c r="C1542" s="121"/>
      <c r="D1542" s="121"/>
      <c r="E1542" s="121"/>
      <c r="F1542" s="121"/>
      <c r="G1542" s="121"/>
      <c r="H1542" s="121"/>
      <c r="I1542" s="121"/>
      <c r="J1542" s="121"/>
      <c r="K1542" s="121"/>
      <c r="L1542" s="121"/>
      <c r="M1542" s="121"/>
      <c r="N1542" s="121"/>
      <c r="O1542" s="121"/>
      <c r="P1542" s="121"/>
      <c r="Q1542" s="121"/>
      <c r="R1542" s="121"/>
      <c r="S1542" s="121"/>
      <c r="T1542" s="121"/>
      <c r="U1542" s="121"/>
      <c r="V1542" s="121"/>
      <c r="W1542" s="121"/>
      <c r="X1542" s="121"/>
      <c r="Y1542" s="121"/>
      <c r="Z1542" s="121"/>
      <c r="AA1542" s="121"/>
      <c r="AB1542" s="121"/>
    </row>
    <row r="1543" spans="2:29" ht="13.5" customHeight="1">
      <c r="B1543" s="98" t="str">
        <f>CONCATENATE("- Periodo: ",INFO!$C$10," a ",INFO!$C$19)</f>
        <v xml:space="preserve">- Periodo: 22/7/2025  a 23/8/2025 </v>
      </c>
      <c r="C1543" s="121"/>
      <c r="D1543" s="121"/>
      <c r="E1543" s="121"/>
      <c r="F1543" s="121"/>
      <c r="G1543" s="121"/>
      <c r="H1543" s="121"/>
      <c r="I1543" s="121"/>
      <c r="J1543" s="121"/>
      <c r="K1543" s="121"/>
      <c r="L1543" s="121"/>
      <c r="M1543" s="121"/>
      <c r="N1543" s="121"/>
      <c r="O1543" s="121"/>
      <c r="P1543" s="121"/>
      <c r="Q1543" s="121"/>
      <c r="R1543" s="121"/>
      <c r="S1543" s="121"/>
      <c r="T1543" s="121"/>
      <c r="U1543" s="121"/>
      <c r="V1543" s="121"/>
      <c r="W1543" s="121"/>
      <c r="X1543" s="121"/>
      <c r="Y1543" s="121"/>
      <c r="Z1543" s="121"/>
      <c r="AA1543" s="121"/>
      <c r="AB1543" s="121"/>
    </row>
    <row r="1544" spans="2:29" ht="13.5" customHeight="1">
      <c r="B1544" s="98" t="str">
        <f>CONCATENATE("- Nr Dias: ",INFO!$C$20)</f>
        <v>- Nr Dias: 33</v>
      </c>
      <c r="C1544" s="121"/>
      <c r="D1544" s="121"/>
      <c r="E1544" s="121"/>
      <c r="F1544" s="121"/>
      <c r="G1544" s="121"/>
      <c r="H1544" s="121"/>
      <c r="I1544" s="121"/>
      <c r="J1544" s="121"/>
      <c r="K1544" s="121"/>
      <c r="L1544" s="121"/>
      <c r="M1544" s="121"/>
      <c r="N1544" s="121"/>
      <c r="O1544" s="121"/>
      <c r="P1544" s="121"/>
      <c r="Q1544" s="121"/>
      <c r="R1544" s="121"/>
      <c r="S1544" s="121"/>
      <c r="T1544" s="121"/>
      <c r="U1544" s="121"/>
      <c r="V1544" s="121"/>
      <c r="W1544" s="121"/>
      <c r="X1544" s="121"/>
      <c r="Y1544" s="121"/>
      <c r="Z1544" s="121"/>
      <c r="AA1544" s="121"/>
      <c r="AB1544" s="121"/>
    </row>
    <row r="1545" spans="2:29" ht="13.5" customHeight="1">
      <c r="B1545" s="98" t="str">
        <f>CONCATENATE("- Valor Estimado: R$ ",INDEX(QSGR!$J$16:$J$11170,AC1538))</f>
        <v xml:space="preserve">- Valor Estimado: R$ </v>
      </c>
      <c r="C1545" s="121"/>
      <c r="D1545" s="121"/>
      <c r="E1545" s="121"/>
      <c r="F1545" s="121"/>
      <c r="G1545" s="121"/>
      <c r="H1545" s="121"/>
      <c r="I1545" s="121"/>
      <c r="J1545" s="121"/>
      <c r="K1545" s="121"/>
      <c r="L1545" s="121"/>
      <c r="M1545" s="121"/>
      <c r="N1545" s="121"/>
      <c r="O1545" s="121"/>
      <c r="P1545" s="121"/>
      <c r="Q1545" s="121"/>
      <c r="R1545" s="121"/>
      <c r="S1545" s="121"/>
      <c r="T1545" s="121"/>
      <c r="U1545" s="121"/>
      <c r="V1545" s="121"/>
      <c r="W1545" s="121"/>
      <c r="X1545" s="121"/>
      <c r="Y1545" s="121"/>
      <c r="Z1545" s="121"/>
      <c r="AA1545" s="121"/>
      <c r="AB1545" s="121"/>
    </row>
    <row r="1546" spans="2:29" ht="13.5" customHeight="1">
      <c r="B1546" s="100"/>
      <c r="C1546" s="121"/>
      <c r="D1546" s="121"/>
      <c r="E1546" s="121"/>
      <c r="F1546" s="121"/>
      <c r="G1546" s="121"/>
      <c r="H1546" s="121"/>
      <c r="I1546" s="121"/>
      <c r="J1546" s="121"/>
      <c r="K1546" s="121"/>
      <c r="L1546" s="121"/>
      <c r="M1546" s="121"/>
      <c r="N1546" s="121"/>
      <c r="O1546" s="121"/>
      <c r="P1546" s="121"/>
      <c r="Q1546" s="121"/>
      <c r="R1546" s="121"/>
      <c r="S1546" s="121"/>
      <c r="T1546" s="121"/>
      <c r="U1546" s="121"/>
      <c r="V1546" s="121"/>
      <c r="W1546" s="121"/>
      <c r="X1546" s="121"/>
      <c r="Y1546" s="121"/>
      <c r="Z1546" s="121"/>
      <c r="AA1546" s="121"/>
      <c r="AB1546" s="121"/>
    </row>
    <row r="1547" spans="2:29" ht="13.5" customHeight="1">
      <c r="B1547" s="98" t="s">
        <v>55</v>
      </c>
      <c r="C1547" s="121"/>
      <c r="D1547" s="121"/>
      <c r="E1547" s="121"/>
      <c r="F1547" s="121"/>
      <c r="G1547" s="121"/>
      <c r="H1547" s="121"/>
      <c r="I1547" s="121"/>
      <c r="J1547" s="121"/>
      <c r="K1547" s="121"/>
      <c r="L1547" s="121"/>
      <c r="M1547" s="121"/>
      <c r="N1547" s="121"/>
      <c r="O1547" s="121"/>
      <c r="P1547" s="121"/>
      <c r="Q1547" s="121"/>
      <c r="R1547" s="121"/>
      <c r="S1547" s="121"/>
      <c r="T1547" s="121"/>
      <c r="U1547" s="121"/>
      <c r="V1547" s="121"/>
      <c r="W1547" s="121"/>
      <c r="X1547" s="121"/>
      <c r="Y1547" s="121"/>
      <c r="Z1547" s="121"/>
      <c r="AA1547" s="121"/>
      <c r="AB1547" s="121"/>
      <c r="AC1547" s="37">
        <f>AC1538+1</f>
        <v>172</v>
      </c>
    </row>
    <row r="1548" spans="2:29" ht="13.5" customHeight="1">
      <c r="B1548" s="99">
        <f>INDEX(QSGR!$B$16:$B$1570,AC1547)</f>
        <v>0</v>
      </c>
      <c r="C1548" s="121"/>
      <c r="D1548" s="121"/>
      <c r="E1548" s="97">
        <f>INDEX(QSGR!$D$16:$D$11170,AC1547)</f>
        <v>0</v>
      </c>
      <c r="F1548" s="121"/>
      <c r="G1548" s="121"/>
      <c r="H1548" s="121"/>
      <c r="I1548" s="121"/>
      <c r="J1548" s="121"/>
      <c r="K1548" s="121"/>
      <c r="L1548" s="121"/>
      <c r="M1548" s="121"/>
      <c r="N1548" s="121"/>
      <c r="O1548" s="121"/>
      <c r="P1548" s="121"/>
      <c r="Q1548" s="121"/>
      <c r="R1548" s="121"/>
      <c r="S1548" s="121"/>
      <c r="T1548" s="121"/>
      <c r="U1548" s="121"/>
      <c r="V1548" s="121"/>
      <c r="W1548" s="121"/>
      <c r="X1548" s="121"/>
      <c r="Y1548" s="121"/>
      <c r="Z1548" s="121"/>
      <c r="AA1548" s="121"/>
      <c r="AB1548" s="121"/>
    </row>
    <row r="1549" spans="2:29" ht="13.5" customHeight="1">
      <c r="B1549" s="96" t="str">
        <f>CONCATENATE("- Evento: ",INFO!$B$22)</f>
        <v>- Evento: PARTICIPAR DA OPERAÇÃO HORUS.</v>
      </c>
      <c r="C1549" s="121"/>
      <c r="D1549" s="121"/>
      <c r="E1549" s="121"/>
      <c r="F1549" s="121"/>
      <c r="G1549" s="121"/>
      <c r="H1549" s="121"/>
      <c r="I1549" s="121"/>
      <c r="J1549" s="121"/>
      <c r="K1549" s="121"/>
      <c r="L1549" s="121"/>
      <c r="M1549" s="121"/>
      <c r="N1549" s="121"/>
      <c r="O1549" s="121"/>
      <c r="P1549" s="121"/>
      <c r="Q1549" s="121"/>
      <c r="R1549" s="121"/>
      <c r="S1549" s="121"/>
      <c r="T1549" s="121"/>
      <c r="U1549" s="121"/>
      <c r="V1549" s="121"/>
      <c r="W1549" s="121"/>
      <c r="X1549" s="121"/>
      <c r="Y1549" s="121"/>
      <c r="Z1549" s="121"/>
      <c r="AA1549" s="121"/>
      <c r="AB1549" s="121"/>
    </row>
    <row r="1550" spans="2:29" ht="13.5" customHeight="1">
      <c r="B1550" s="98" t="str">
        <f>CONCATENATE("- Documento de Solicitação: ",INFO!$B$24)</f>
        <v>- Documento de Solicitação: TESTE AZUL</v>
      </c>
      <c r="C1550" s="121"/>
      <c r="D1550" s="121"/>
      <c r="E1550" s="121"/>
      <c r="F1550" s="121"/>
      <c r="G1550" s="121"/>
      <c r="H1550" s="121"/>
      <c r="I1550" s="121"/>
      <c r="J1550" s="121"/>
      <c r="K1550" s="121"/>
      <c r="L1550" s="121"/>
      <c r="M1550" s="121"/>
      <c r="N1550" s="121"/>
      <c r="O1550" s="121"/>
      <c r="P1550" s="121"/>
      <c r="Q1550" s="121"/>
      <c r="R1550" s="121"/>
      <c r="S1550" s="121"/>
      <c r="T1550" s="121"/>
      <c r="U1550" s="121"/>
      <c r="V1550" s="121"/>
      <c r="W1550" s="121"/>
      <c r="X1550" s="121"/>
      <c r="Y1550" s="121"/>
      <c r="Z1550" s="121"/>
      <c r="AA1550" s="121"/>
      <c r="AB1550" s="121"/>
    </row>
    <row r="1551" spans="2:29" ht="13.5" customHeight="1">
      <c r="B1551" s="98" t="str">
        <f>CONCATENATE("- Local: ",INFO!$C$18)</f>
        <v>- Local: GUAIRA - PR</v>
      </c>
      <c r="C1551" s="121"/>
      <c r="D1551" s="121"/>
      <c r="E1551" s="121"/>
      <c r="F1551" s="121"/>
      <c r="G1551" s="121"/>
      <c r="H1551" s="121"/>
      <c r="I1551" s="121"/>
      <c r="J1551" s="121"/>
      <c r="K1551" s="121"/>
      <c r="L1551" s="121"/>
      <c r="M1551" s="121"/>
      <c r="N1551" s="121"/>
      <c r="O1551" s="121"/>
      <c r="P1551" s="121"/>
      <c r="Q1551" s="121"/>
      <c r="R1551" s="121"/>
      <c r="S1551" s="121"/>
      <c r="T1551" s="121"/>
      <c r="U1551" s="121"/>
      <c r="V1551" s="121"/>
      <c r="W1551" s="121"/>
      <c r="X1551" s="121"/>
      <c r="Y1551" s="121"/>
      <c r="Z1551" s="121"/>
      <c r="AA1551" s="121"/>
      <c r="AB1551" s="121"/>
    </row>
    <row r="1552" spans="2:29" ht="13.5" customHeight="1">
      <c r="B1552" s="98" t="str">
        <f>CONCATENATE("- Periodo: ",INFO!$C$10," a ",INFO!$C$19)</f>
        <v xml:space="preserve">- Periodo: 22/7/2025  a 23/8/2025 </v>
      </c>
      <c r="C1552" s="121"/>
      <c r="D1552" s="121"/>
      <c r="E1552" s="121"/>
      <c r="F1552" s="121"/>
      <c r="G1552" s="121"/>
      <c r="H1552" s="121"/>
      <c r="I1552" s="121"/>
      <c r="J1552" s="121"/>
      <c r="K1552" s="121"/>
      <c r="L1552" s="121"/>
      <c r="M1552" s="121"/>
      <c r="N1552" s="121"/>
      <c r="O1552" s="121"/>
      <c r="P1552" s="121"/>
      <c r="Q1552" s="121"/>
      <c r="R1552" s="121"/>
      <c r="S1552" s="121"/>
      <c r="T1552" s="121"/>
      <c r="U1552" s="121"/>
      <c r="V1552" s="121"/>
      <c r="W1552" s="121"/>
      <c r="X1552" s="121"/>
      <c r="Y1552" s="121"/>
      <c r="Z1552" s="121"/>
      <c r="AA1552" s="121"/>
      <c r="AB1552" s="121"/>
    </row>
    <row r="1553" spans="2:29" ht="13.5" customHeight="1">
      <c r="B1553" s="98" t="str">
        <f>CONCATENATE("- Nr Dias: ",INFO!$C$20)</f>
        <v>- Nr Dias: 33</v>
      </c>
      <c r="C1553" s="121"/>
      <c r="D1553" s="121"/>
      <c r="E1553" s="121"/>
      <c r="F1553" s="121"/>
      <c r="G1553" s="121"/>
      <c r="H1553" s="121"/>
      <c r="I1553" s="121"/>
      <c r="J1553" s="121"/>
      <c r="K1553" s="121"/>
      <c r="L1553" s="121"/>
      <c r="M1553" s="121"/>
      <c r="N1553" s="121"/>
      <c r="O1553" s="121"/>
      <c r="P1553" s="121"/>
      <c r="Q1553" s="121"/>
      <c r="R1553" s="121"/>
      <c r="S1553" s="121"/>
      <c r="T1553" s="121"/>
      <c r="U1553" s="121"/>
      <c r="V1553" s="121"/>
      <c r="W1553" s="121"/>
      <c r="X1553" s="121"/>
      <c r="Y1553" s="121"/>
      <c r="Z1553" s="121"/>
      <c r="AA1553" s="121"/>
      <c r="AB1553" s="121"/>
    </row>
    <row r="1554" spans="2:29" ht="13.5" customHeight="1">
      <c r="B1554" s="98" t="str">
        <f>CONCATENATE("- Valor Estimado: R$ ",INDEX(QSGR!$J$16:$J$11170,AC1547))</f>
        <v xml:space="preserve">- Valor Estimado: R$ </v>
      </c>
      <c r="C1554" s="121"/>
      <c r="D1554" s="121"/>
      <c r="E1554" s="121"/>
      <c r="F1554" s="121"/>
      <c r="G1554" s="121"/>
      <c r="H1554" s="121"/>
      <c r="I1554" s="121"/>
      <c r="J1554" s="121"/>
      <c r="K1554" s="121"/>
      <c r="L1554" s="121"/>
      <c r="M1554" s="121"/>
      <c r="N1554" s="121"/>
      <c r="O1554" s="121"/>
      <c r="P1554" s="121"/>
      <c r="Q1554" s="121"/>
      <c r="R1554" s="121"/>
      <c r="S1554" s="121"/>
      <c r="T1554" s="121"/>
      <c r="U1554" s="121"/>
      <c r="V1554" s="121"/>
      <c r="W1554" s="121"/>
      <c r="X1554" s="121"/>
      <c r="Y1554" s="121"/>
      <c r="Z1554" s="121"/>
      <c r="AA1554" s="121"/>
      <c r="AB1554" s="121"/>
    </row>
    <row r="1555" spans="2:29" ht="13.5" customHeight="1">
      <c r="B1555" s="100"/>
      <c r="C1555" s="121"/>
      <c r="D1555" s="121"/>
      <c r="E1555" s="121"/>
      <c r="F1555" s="121"/>
      <c r="G1555" s="121"/>
      <c r="H1555" s="121"/>
      <c r="I1555" s="121"/>
      <c r="J1555" s="121"/>
      <c r="K1555" s="121"/>
      <c r="L1555" s="121"/>
      <c r="M1555" s="121"/>
      <c r="N1555" s="121"/>
      <c r="O1555" s="121"/>
      <c r="P1555" s="121"/>
      <c r="Q1555" s="121"/>
      <c r="R1555" s="121"/>
      <c r="S1555" s="121"/>
      <c r="T1555" s="121"/>
      <c r="U1555" s="121"/>
      <c r="V1555" s="121"/>
      <c r="W1555" s="121"/>
      <c r="X1555" s="121"/>
      <c r="Y1555" s="121"/>
      <c r="Z1555" s="121"/>
      <c r="AA1555" s="121"/>
      <c r="AB1555" s="121"/>
    </row>
    <row r="1556" spans="2:29" ht="13.5" customHeight="1">
      <c r="B1556" s="98" t="s">
        <v>55</v>
      </c>
      <c r="C1556" s="121"/>
      <c r="D1556" s="121"/>
      <c r="E1556" s="121"/>
      <c r="F1556" s="121"/>
      <c r="G1556" s="121"/>
      <c r="H1556" s="121"/>
      <c r="I1556" s="121"/>
      <c r="J1556" s="121"/>
      <c r="K1556" s="121"/>
      <c r="L1556" s="121"/>
      <c r="M1556" s="121"/>
      <c r="N1556" s="121"/>
      <c r="O1556" s="121"/>
      <c r="P1556" s="121"/>
      <c r="Q1556" s="121"/>
      <c r="R1556" s="121"/>
      <c r="S1556" s="121"/>
      <c r="T1556" s="121"/>
      <c r="U1556" s="121"/>
      <c r="V1556" s="121"/>
      <c r="W1556" s="121"/>
      <c r="X1556" s="121"/>
      <c r="Y1556" s="121"/>
      <c r="Z1556" s="121"/>
      <c r="AA1556" s="121"/>
      <c r="AB1556" s="121"/>
      <c r="AC1556" s="37">
        <f>AC1547+1</f>
        <v>173</v>
      </c>
    </row>
    <row r="1557" spans="2:29" ht="13.5" customHeight="1">
      <c r="B1557" s="99">
        <f>INDEX(QSGR!$B$16:$B$1570,AC1556)</f>
        <v>0</v>
      </c>
      <c r="C1557" s="121"/>
      <c r="D1557" s="121"/>
      <c r="E1557" s="97">
        <f>INDEX(QSGR!$D$16:$D$11170,AC1556)</f>
        <v>0</v>
      </c>
      <c r="F1557" s="121"/>
      <c r="G1557" s="121"/>
      <c r="H1557" s="121"/>
      <c r="I1557" s="121"/>
      <c r="J1557" s="121"/>
      <c r="K1557" s="121"/>
      <c r="L1557" s="121"/>
      <c r="M1557" s="121"/>
      <c r="N1557" s="121"/>
      <c r="O1557" s="121"/>
      <c r="P1557" s="121"/>
      <c r="Q1557" s="121"/>
      <c r="R1557" s="121"/>
      <c r="S1557" s="121"/>
      <c r="T1557" s="121"/>
      <c r="U1557" s="121"/>
      <c r="V1557" s="121"/>
      <c r="W1557" s="121"/>
      <c r="X1557" s="121"/>
      <c r="Y1557" s="121"/>
      <c r="Z1557" s="121"/>
      <c r="AA1557" s="121"/>
      <c r="AB1557" s="121"/>
    </row>
    <row r="1558" spans="2:29" ht="13.5" customHeight="1">
      <c r="B1558" s="96" t="str">
        <f>CONCATENATE("- Evento: ",INFO!$B$22)</f>
        <v>- Evento: PARTICIPAR DA OPERAÇÃO HORUS.</v>
      </c>
      <c r="C1558" s="121"/>
      <c r="D1558" s="121"/>
      <c r="E1558" s="121"/>
      <c r="F1558" s="121"/>
      <c r="G1558" s="121"/>
      <c r="H1558" s="121"/>
      <c r="I1558" s="121"/>
      <c r="J1558" s="121"/>
      <c r="K1558" s="121"/>
      <c r="L1558" s="121"/>
      <c r="M1558" s="121"/>
      <c r="N1558" s="121"/>
      <c r="O1558" s="121"/>
      <c r="P1558" s="121"/>
      <c r="Q1558" s="121"/>
      <c r="R1558" s="121"/>
      <c r="S1558" s="121"/>
      <c r="T1558" s="121"/>
      <c r="U1558" s="121"/>
      <c r="V1558" s="121"/>
      <c r="W1558" s="121"/>
      <c r="X1558" s="121"/>
      <c r="Y1558" s="121"/>
      <c r="Z1558" s="121"/>
      <c r="AA1558" s="121"/>
      <c r="AB1558" s="121"/>
    </row>
    <row r="1559" spans="2:29" ht="13.5" customHeight="1">
      <c r="B1559" s="98" t="str">
        <f>CONCATENATE("- Documento de Solicitação: ",INFO!$B$24)</f>
        <v>- Documento de Solicitação: TESTE AZUL</v>
      </c>
      <c r="C1559" s="121"/>
      <c r="D1559" s="121"/>
      <c r="E1559" s="121"/>
      <c r="F1559" s="121"/>
      <c r="G1559" s="121"/>
      <c r="H1559" s="121"/>
      <c r="I1559" s="121"/>
      <c r="J1559" s="121"/>
      <c r="K1559" s="121"/>
      <c r="L1559" s="121"/>
      <c r="M1559" s="121"/>
      <c r="N1559" s="121"/>
      <c r="O1559" s="121"/>
      <c r="P1559" s="121"/>
      <c r="Q1559" s="121"/>
      <c r="R1559" s="121"/>
      <c r="S1559" s="121"/>
      <c r="T1559" s="121"/>
      <c r="U1559" s="121"/>
      <c r="V1559" s="121"/>
      <c r="W1559" s="121"/>
      <c r="X1559" s="121"/>
      <c r="Y1559" s="121"/>
      <c r="Z1559" s="121"/>
      <c r="AA1559" s="121"/>
      <c r="AB1559" s="121"/>
    </row>
    <row r="1560" spans="2:29" ht="13.5" customHeight="1">
      <c r="B1560" s="98" t="str">
        <f>CONCATENATE("- Local: ",INFO!$C$18)</f>
        <v>- Local: GUAIRA - PR</v>
      </c>
      <c r="C1560" s="121"/>
      <c r="D1560" s="121"/>
      <c r="E1560" s="121"/>
      <c r="F1560" s="121"/>
      <c r="G1560" s="121"/>
      <c r="H1560" s="121"/>
      <c r="I1560" s="121"/>
      <c r="J1560" s="121"/>
      <c r="K1560" s="121"/>
      <c r="L1560" s="121"/>
      <c r="M1560" s="121"/>
      <c r="N1560" s="121"/>
      <c r="O1560" s="121"/>
      <c r="P1560" s="121"/>
      <c r="Q1560" s="121"/>
      <c r="R1560" s="121"/>
      <c r="S1560" s="121"/>
      <c r="T1560" s="121"/>
      <c r="U1560" s="121"/>
      <c r="V1560" s="121"/>
      <c r="W1560" s="121"/>
      <c r="X1560" s="121"/>
      <c r="Y1560" s="121"/>
      <c r="Z1560" s="121"/>
      <c r="AA1560" s="121"/>
      <c r="AB1560" s="121"/>
    </row>
    <row r="1561" spans="2:29" ht="13.5" customHeight="1">
      <c r="B1561" s="98" t="str">
        <f>CONCATENATE("- Periodo: ",INFO!$C$10," a ",INFO!$C$19)</f>
        <v xml:space="preserve">- Periodo: 22/7/2025  a 23/8/2025 </v>
      </c>
      <c r="C1561" s="121"/>
      <c r="D1561" s="121"/>
      <c r="E1561" s="121"/>
      <c r="F1561" s="121"/>
      <c r="G1561" s="121"/>
      <c r="H1561" s="121"/>
      <c r="I1561" s="121"/>
      <c r="J1561" s="121"/>
      <c r="K1561" s="121"/>
      <c r="L1561" s="121"/>
      <c r="M1561" s="121"/>
      <c r="N1561" s="121"/>
      <c r="O1561" s="121"/>
      <c r="P1561" s="121"/>
      <c r="Q1561" s="121"/>
      <c r="R1561" s="121"/>
      <c r="S1561" s="121"/>
      <c r="T1561" s="121"/>
      <c r="U1561" s="121"/>
      <c r="V1561" s="121"/>
      <c r="W1561" s="121"/>
      <c r="X1561" s="121"/>
      <c r="Y1561" s="121"/>
      <c r="Z1561" s="121"/>
      <c r="AA1561" s="121"/>
      <c r="AB1561" s="121"/>
    </row>
    <row r="1562" spans="2:29" ht="13.5" customHeight="1">
      <c r="B1562" s="98" t="str">
        <f>CONCATENATE("- Nr Dias: ",INFO!$C$20)</f>
        <v>- Nr Dias: 33</v>
      </c>
      <c r="C1562" s="121"/>
      <c r="D1562" s="121"/>
      <c r="E1562" s="121"/>
      <c r="F1562" s="121"/>
      <c r="G1562" s="121"/>
      <c r="H1562" s="121"/>
      <c r="I1562" s="121"/>
      <c r="J1562" s="121"/>
      <c r="K1562" s="121"/>
      <c r="L1562" s="121"/>
      <c r="M1562" s="121"/>
      <c r="N1562" s="121"/>
      <c r="O1562" s="121"/>
      <c r="P1562" s="121"/>
      <c r="Q1562" s="121"/>
      <c r="R1562" s="121"/>
      <c r="S1562" s="121"/>
      <c r="T1562" s="121"/>
      <c r="U1562" s="121"/>
      <c r="V1562" s="121"/>
      <c r="W1562" s="121"/>
      <c r="X1562" s="121"/>
      <c r="Y1562" s="121"/>
      <c r="Z1562" s="121"/>
      <c r="AA1562" s="121"/>
      <c r="AB1562" s="121"/>
    </row>
    <row r="1563" spans="2:29" ht="13.5" customHeight="1">
      <c r="B1563" s="98" t="str">
        <f>CONCATENATE("- Valor Estimado: R$ ",INDEX(QSGR!$J$16:$J$11170,AC1556))</f>
        <v xml:space="preserve">- Valor Estimado: R$ </v>
      </c>
      <c r="C1563" s="121"/>
      <c r="D1563" s="121"/>
      <c r="E1563" s="121"/>
      <c r="F1563" s="121"/>
      <c r="G1563" s="121"/>
      <c r="H1563" s="121"/>
      <c r="I1563" s="121"/>
      <c r="J1563" s="121"/>
      <c r="K1563" s="121"/>
      <c r="L1563" s="121"/>
      <c r="M1563" s="121"/>
      <c r="N1563" s="121"/>
      <c r="O1563" s="121"/>
      <c r="P1563" s="121"/>
      <c r="Q1563" s="121"/>
      <c r="R1563" s="121"/>
      <c r="S1563" s="121"/>
      <c r="T1563" s="121"/>
      <c r="U1563" s="121"/>
      <c r="V1563" s="121"/>
      <c r="W1563" s="121"/>
      <c r="X1563" s="121"/>
      <c r="Y1563" s="121"/>
      <c r="Z1563" s="121"/>
      <c r="AA1563" s="121"/>
      <c r="AB1563" s="121"/>
    </row>
    <row r="1564" spans="2:29" ht="13.5" customHeight="1">
      <c r="B1564" s="100"/>
      <c r="C1564" s="121"/>
      <c r="D1564" s="121"/>
      <c r="E1564" s="121"/>
      <c r="F1564" s="121"/>
      <c r="G1564" s="121"/>
      <c r="H1564" s="121"/>
      <c r="I1564" s="121"/>
      <c r="J1564" s="121"/>
      <c r="K1564" s="121"/>
      <c r="L1564" s="121"/>
      <c r="M1564" s="121"/>
      <c r="N1564" s="121"/>
      <c r="O1564" s="121"/>
      <c r="P1564" s="121"/>
      <c r="Q1564" s="121"/>
      <c r="R1564" s="121"/>
      <c r="S1564" s="121"/>
      <c r="T1564" s="121"/>
      <c r="U1564" s="121"/>
      <c r="V1564" s="121"/>
      <c r="W1564" s="121"/>
      <c r="X1564" s="121"/>
      <c r="Y1564" s="121"/>
      <c r="Z1564" s="121"/>
      <c r="AA1564" s="121"/>
      <c r="AB1564" s="121"/>
    </row>
    <row r="1565" spans="2:29" ht="13.5" customHeight="1">
      <c r="B1565" s="98" t="s">
        <v>55</v>
      </c>
      <c r="C1565" s="121"/>
      <c r="D1565" s="121"/>
      <c r="E1565" s="121"/>
      <c r="F1565" s="121"/>
      <c r="G1565" s="121"/>
      <c r="H1565" s="121"/>
      <c r="I1565" s="121"/>
      <c r="J1565" s="121"/>
      <c r="K1565" s="121"/>
      <c r="L1565" s="121"/>
      <c r="M1565" s="121"/>
      <c r="N1565" s="121"/>
      <c r="O1565" s="121"/>
      <c r="P1565" s="121"/>
      <c r="Q1565" s="121"/>
      <c r="R1565" s="121"/>
      <c r="S1565" s="121"/>
      <c r="T1565" s="121"/>
      <c r="U1565" s="121"/>
      <c r="V1565" s="121"/>
      <c r="W1565" s="121"/>
      <c r="X1565" s="121"/>
      <c r="Y1565" s="121"/>
      <c r="Z1565" s="121"/>
      <c r="AA1565" s="121"/>
      <c r="AB1565" s="121"/>
      <c r="AC1565" s="37">
        <f>AC1556+1</f>
        <v>174</v>
      </c>
    </row>
    <row r="1566" spans="2:29" ht="13.5" customHeight="1">
      <c r="B1566" s="99">
        <f>INDEX(QSGR!$B$16:$B$1570,AC1565)</f>
        <v>0</v>
      </c>
      <c r="C1566" s="121"/>
      <c r="D1566" s="121"/>
      <c r="E1566" s="97">
        <f>INDEX(QSGR!$D$16:$D$11170,AC1565)</f>
        <v>0</v>
      </c>
      <c r="F1566" s="121"/>
      <c r="G1566" s="121"/>
      <c r="H1566" s="121"/>
      <c r="I1566" s="121"/>
      <c r="J1566" s="121"/>
      <c r="K1566" s="121"/>
      <c r="L1566" s="121"/>
      <c r="M1566" s="121"/>
      <c r="N1566" s="121"/>
      <c r="O1566" s="121"/>
      <c r="P1566" s="121"/>
      <c r="Q1566" s="121"/>
      <c r="R1566" s="121"/>
      <c r="S1566" s="121"/>
      <c r="T1566" s="121"/>
      <c r="U1566" s="121"/>
      <c r="V1566" s="121"/>
      <c r="W1566" s="121"/>
      <c r="X1566" s="121"/>
      <c r="Y1566" s="121"/>
      <c r="Z1566" s="121"/>
      <c r="AA1566" s="121"/>
      <c r="AB1566" s="121"/>
    </row>
    <row r="1567" spans="2:29" ht="13.5" customHeight="1">
      <c r="B1567" s="96" t="str">
        <f>CONCATENATE("- Evento: ",INFO!$B$22)</f>
        <v>- Evento: PARTICIPAR DA OPERAÇÃO HORUS.</v>
      </c>
      <c r="C1567" s="121"/>
      <c r="D1567" s="121"/>
      <c r="E1567" s="121"/>
      <c r="F1567" s="121"/>
      <c r="G1567" s="121"/>
      <c r="H1567" s="121"/>
      <c r="I1567" s="121"/>
      <c r="J1567" s="121"/>
      <c r="K1567" s="121"/>
      <c r="L1567" s="121"/>
      <c r="M1567" s="121"/>
      <c r="N1567" s="121"/>
      <c r="O1567" s="121"/>
      <c r="P1567" s="121"/>
      <c r="Q1567" s="121"/>
      <c r="R1567" s="121"/>
      <c r="S1567" s="121"/>
      <c r="T1567" s="121"/>
      <c r="U1567" s="121"/>
      <c r="V1567" s="121"/>
      <c r="W1567" s="121"/>
      <c r="X1567" s="121"/>
      <c r="Y1567" s="121"/>
      <c r="Z1567" s="121"/>
      <c r="AA1567" s="121"/>
      <c r="AB1567" s="121"/>
    </row>
    <row r="1568" spans="2:29" ht="13.5" customHeight="1">
      <c r="B1568" s="98" t="str">
        <f>CONCATENATE("- Documento de Solicitação: ",INFO!$B$24)</f>
        <v>- Documento de Solicitação: TESTE AZUL</v>
      </c>
      <c r="C1568" s="121"/>
      <c r="D1568" s="121"/>
      <c r="E1568" s="121"/>
      <c r="F1568" s="121"/>
      <c r="G1568" s="121"/>
      <c r="H1568" s="121"/>
      <c r="I1568" s="121"/>
      <c r="J1568" s="121"/>
      <c r="K1568" s="121"/>
      <c r="L1568" s="121"/>
      <c r="M1568" s="121"/>
      <c r="N1568" s="121"/>
      <c r="O1568" s="121"/>
      <c r="P1568" s="121"/>
      <c r="Q1568" s="121"/>
      <c r="R1568" s="121"/>
      <c r="S1568" s="121"/>
      <c r="T1568" s="121"/>
      <c r="U1568" s="121"/>
      <c r="V1568" s="121"/>
      <c r="W1568" s="121"/>
      <c r="X1568" s="121"/>
      <c r="Y1568" s="121"/>
      <c r="Z1568" s="121"/>
      <c r="AA1568" s="121"/>
      <c r="AB1568" s="121"/>
    </row>
    <row r="1569" spans="2:29" ht="13.5" customHeight="1">
      <c r="B1569" s="98" t="str">
        <f>CONCATENATE("- Local: ",INFO!$C$18)</f>
        <v>- Local: GUAIRA - PR</v>
      </c>
      <c r="C1569" s="121"/>
      <c r="D1569" s="121"/>
      <c r="E1569" s="121"/>
      <c r="F1569" s="121"/>
      <c r="G1569" s="121"/>
      <c r="H1569" s="121"/>
      <c r="I1569" s="121"/>
      <c r="J1569" s="121"/>
      <c r="K1569" s="121"/>
      <c r="L1569" s="121"/>
      <c r="M1569" s="121"/>
      <c r="N1569" s="121"/>
      <c r="O1569" s="121"/>
      <c r="P1569" s="121"/>
      <c r="Q1569" s="121"/>
      <c r="R1569" s="121"/>
      <c r="S1569" s="121"/>
      <c r="T1569" s="121"/>
      <c r="U1569" s="121"/>
      <c r="V1569" s="121"/>
      <c r="W1569" s="121"/>
      <c r="X1569" s="121"/>
      <c r="Y1569" s="121"/>
      <c r="Z1569" s="121"/>
      <c r="AA1569" s="121"/>
      <c r="AB1569" s="121"/>
    </row>
    <row r="1570" spans="2:29" ht="13.5" customHeight="1">
      <c r="B1570" s="98" t="str">
        <f>CONCATENATE("- Periodo: ",INFO!$C$10," a ",INFO!$C$19)</f>
        <v xml:space="preserve">- Periodo: 22/7/2025  a 23/8/2025 </v>
      </c>
      <c r="C1570" s="121"/>
      <c r="D1570" s="121"/>
      <c r="E1570" s="121"/>
      <c r="F1570" s="121"/>
      <c r="G1570" s="121"/>
      <c r="H1570" s="121"/>
      <c r="I1570" s="121"/>
      <c r="J1570" s="121"/>
      <c r="K1570" s="121"/>
      <c r="L1570" s="121"/>
      <c r="M1570" s="121"/>
      <c r="N1570" s="121"/>
      <c r="O1570" s="121"/>
      <c r="P1570" s="121"/>
      <c r="Q1570" s="121"/>
      <c r="R1570" s="121"/>
      <c r="S1570" s="121"/>
      <c r="T1570" s="121"/>
      <c r="U1570" s="121"/>
      <c r="V1570" s="121"/>
      <c r="W1570" s="121"/>
      <c r="X1570" s="121"/>
      <c r="Y1570" s="121"/>
      <c r="Z1570" s="121"/>
      <c r="AA1570" s="121"/>
      <c r="AB1570" s="121"/>
    </row>
    <row r="1571" spans="2:29" ht="13.5" customHeight="1">
      <c r="B1571" s="98" t="str">
        <f>CONCATENATE("- Nr Dias: ",INFO!$C$20)</f>
        <v>- Nr Dias: 33</v>
      </c>
      <c r="C1571" s="121"/>
      <c r="D1571" s="121"/>
      <c r="E1571" s="121"/>
      <c r="F1571" s="121"/>
      <c r="G1571" s="121"/>
      <c r="H1571" s="121"/>
      <c r="I1571" s="121"/>
      <c r="J1571" s="121"/>
      <c r="K1571" s="121"/>
      <c r="L1571" s="121"/>
      <c r="M1571" s="121"/>
      <c r="N1571" s="121"/>
      <c r="O1571" s="121"/>
      <c r="P1571" s="121"/>
      <c r="Q1571" s="121"/>
      <c r="R1571" s="121"/>
      <c r="S1571" s="121"/>
      <c r="T1571" s="121"/>
      <c r="U1571" s="121"/>
      <c r="V1571" s="121"/>
      <c r="W1571" s="121"/>
      <c r="X1571" s="121"/>
      <c r="Y1571" s="121"/>
      <c r="Z1571" s="121"/>
      <c r="AA1571" s="121"/>
      <c r="AB1571" s="121"/>
    </row>
    <row r="1572" spans="2:29" ht="13.5" customHeight="1">
      <c r="B1572" s="98" t="str">
        <f>CONCATENATE("- Valor Estimado: R$ ",INDEX(QSGR!$J$16:$J$11170,AC1565))</f>
        <v xml:space="preserve">- Valor Estimado: R$ </v>
      </c>
      <c r="C1572" s="121"/>
      <c r="D1572" s="121"/>
      <c r="E1572" s="121"/>
      <c r="F1572" s="121"/>
      <c r="G1572" s="121"/>
      <c r="H1572" s="121"/>
      <c r="I1572" s="121"/>
      <c r="J1572" s="121"/>
      <c r="K1572" s="121"/>
      <c r="L1572" s="121"/>
      <c r="M1572" s="121"/>
      <c r="N1572" s="121"/>
      <c r="O1572" s="121"/>
      <c r="P1572" s="121"/>
      <c r="Q1572" s="121"/>
      <c r="R1572" s="121"/>
      <c r="S1572" s="121"/>
      <c r="T1572" s="121"/>
      <c r="U1572" s="121"/>
      <c r="V1572" s="121"/>
      <c r="W1572" s="121"/>
      <c r="X1572" s="121"/>
      <c r="Y1572" s="121"/>
      <c r="Z1572" s="121"/>
      <c r="AA1572" s="121"/>
      <c r="AB1572" s="121"/>
    </row>
    <row r="1573" spans="2:29" ht="13.5" customHeight="1">
      <c r="B1573" s="100"/>
      <c r="C1573" s="121"/>
      <c r="D1573" s="121"/>
      <c r="E1573" s="121"/>
      <c r="F1573" s="121"/>
      <c r="G1573" s="121"/>
      <c r="H1573" s="121"/>
      <c r="I1573" s="121"/>
      <c r="J1573" s="121"/>
      <c r="K1573" s="121"/>
      <c r="L1573" s="121"/>
      <c r="M1573" s="121"/>
      <c r="N1573" s="121"/>
      <c r="O1573" s="121"/>
      <c r="P1573" s="121"/>
      <c r="Q1573" s="121"/>
      <c r="R1573" s="121"/>
      <c r="S1573" s="121"/>
      <c r="T1573" s="121"/>
      <c r="U1573" s="121"/>
      <c r="V1573" s="121"/>
      <c r="W1573" s="121"/>
      <c r="X1573" s="121"/>
      <c r="Y1573" s="121"/>
      <c r="Z1573" s="121"/>
      <c r="AA1573" s="121"/>
      <c r="AB1573" s="121"/>
    </row>
    <row r="1574" spans="2:29" ht="13.5" customHeight="1">
      <c r="B1574" s="98" t="s">
        <v>55</v>
      </c>
      <c r="C1574" s="121"/>
      <c r="D1574" s="121"/>
      <c r="E1574" s="121"/>
      <c r="F1574" s="121"/>
      <c r="G1574" s="121"/>
      <c r="H1574" s="121"/>
      <c r="I1574" s="121"/>
      <c r="J1574" s="121"/>
      <c r="K1574" s="121"/>
      <c r="L1574" s="121"/>
      <c r="M1574" s="121"/>
      <c r="N1574" s="121"/>
      <c r="O1574" s="121"/>
      <c r="P1574" s="121"/>
      <c r="Q1574" s="121"/>
      <c r="R1574" s="121"/>
      <c r="S1574" s="121"/>
      <c r="T1574" s="121"/>
      <c r="U1574" s="121"/>
      <c r="V1574" s="121"/>
      <c r="W1574" s="121"/>
      <c r="X1574" s="121"/>
      <c r="Y1574" s="121"/>
      <c r="Z1574" s="121"/>
      <c r="AA1574" s="121"/>
      <c r="AB1574" s="121"/>
      <c r="AC1574" s="37">
        <f>AC1565+1</f>
        <v>175</v>
      </c>
    </row>
    <row r="1575" spans="2:29" ht="13.5" customHeight="1">
      <c r="B1575" s="99">
        <f>INDEX(QSGR!$B$16:$B$1570,AC1574)</f>
        <v>0</v>
      </c>
      <c r="C1575" s="121"/>
      <c r="D1575" s="121"/>
      <c r="E1575" s="97">
        <f>INDEX(QSGR!$D$16:$D$11170,AC1574)</f>
        <v>0</v>
      </c>
      <c r="F1575" s="121"/>
      <c r="G1575" s="121"/>
      <c r="H1575" s="121"/>
      <c r="I1575" s="121"/>
      <c r="J1575" s="121"/>
      <c r="K1575" s="121"/>
      <c r="L1575" s="121"/>
      <c r="M1575" s="121"/>
      <c r="N1575" s="121"/>
      <c r="O1575" s="121"/>
      <c r="P1575" s="121"/>
      <c r="Q1575" s="121"/>
      <c r="R1575" s="121"/>
      <c r="S1575" s="121"/>
      <c r="T1575" s="121"/>
      <c r="U1575" s="121"/>
      <c r="V1575" s="121"/>
      <c r="W1575" s="121"/>
      <c r="X1575" s="121"/>
      <c r="Y1575" s="121"/>
      <c r="Z1575" s="121"/>
      <c r="AA1575" s="121"/>
      <c r="AB1575" s="121"/>
    </row>
    <row r="1576" spans="2:29" ht="13.5" customHeight="1">
      <c r="B1576" s="96" t="str">
        <f>CONCATENATE("- Evento: ",INFO!$B$22)</f>
        <v>- Evento: PARTICIPAR DA OPERAÇÃO HORUS.</v>
      </c>
      <c r="C1576" s="121"/>
      <c r="D1576" s="121"/>
      <c r="E1576" s="121"/>
      <c r="F1576" s="121"/>
      <c r="G1576" s="121"/>
      <c r="H1576" s="121"/>
      <c r="I1576" s="121"/>
      <c r="J1576" s="121"/>
      <c r="K1576" s="121"/>
      <c r="L1576" s="121"/>
      <c r="M1576" s="121"/>
      <c r="N1576" s="121"/>
      <c r="O1576" s="121"/>
      <c r="P1576" s="121"/>
      <c r="Q1576" s="121"/>
      <c r="R1576" s="121"/>
      <c r="S1576" s="121"/>
      <c r="T1576" s="121"/>
      <c r="U1576" s="121"/>
      <c r="V1576" s="121"/>
      <c r="W1576" s="121"/>
      <c r="X1576" s="121"/>
      <c r="Y1576" s="121"/>
      <c r="Z1576" s="121"/>
      <c r="AA1576" s="121"/>
      <c r="AB1576" s="121"/>
    </row>
    <row r="1577" spans="2:29" ht="13.5" customHeight="1">
      <c r="B1577" s="98" t="str">
        <f>CONCATENATE("- Documento de Solicitação: ",INFO!$B$24)</f>
        <v>- Documento de Solicitação: TESTE AZUL</v>
      </c>
      <c r="C1577" s="121"/>
      <c r="D1577" s="121"/>
      <c r="E1577" s="121"/>
      <c r="F1577" s="121"/>
      <c r="G1577" s="121"/>
      <c r="H1577" s="121"/>
      <c r="I1577" s="121"/>
      <c r="J1577" s="121"/>
      <c r="K1577" s="121"/>
      <c r="L1577" s="121"/>
      <c r="M1577" s="121"/>
      <c r="N1577" s="121"/>
      <c r="O1577" s="121"/>
      <c r="P1577" s="121"/>
      <c r="Q1577" s="121"/>
      <c r="R1577" s="121"/>
      <c r="S1577" s="121"/>
      <c r="T1577" s="121"/>
      <c r="U1577" s="121"/>
      <c r="V1577" s="121"/>
      <c r="W1577" s="121"/>
      <c r="X1577" s="121"/>
      <c r="Y1577" s="121"/>
      <c r="Z1577" s="121"/>
      <c r="AA1577" s="121"/>
      <c r="AB1577" s="121"/>
    </row>
    <row r="1578" spans="2:29" ht="13.5" customHeight="1">
      <c r="B1578" s="98" t="str">
        <f>CONCATENATE("- Local: ",INFO!$C$18)</f>
        <v>- Local: GUAIRA - PR</v>
      </c>
      <c r="C1578" s="121"/>
      <c r="D1578" s="121"/>
      <c r="E1578" s="121"/>
      <c r="F1578" s="121"/>
      <c r="G1578" s="121"/>
      <c r="H1578" s="121"/>
      <c r="I1578" s="121"/>
      <c r="J1578" s="121"/>
      <c r="K1578" s="121"/>
      <c r="L1578" s="121"/>
      <c r="M1578" s="121"/>
      <c r="N1578" s="121"/>
      <c r="O1578" s="121"/>
      <c r="P1578" s="121"/>
      <c r="Q1578" s="121"/>
      <c r="R1578" s="121"/>
      <c r="S1578" s="121"/>
      <c r="T1578" s="121"/>
      <c r="U1578" s="121"/>
      <c r="V1578" s="121"/>
      <c r="W1578" s="121"/>
      <c r="X1578" s="121"/>
      <c r="Y1578" s="121"/>
      <c r="Z1578" s="121"/>
      <c r="AA1578" s="121"/>
      <c r="AB1578" s="121"/>
    </row>
    <row r="1579" spans="2:29" ht="13.5" customHeight="1">
      <c r="B1579" s="98" t="str">
        <f>CONCATENATE("- Periodo: ",INFO!$C$10," a ",INFO!$C$19)</f>
        <v xml:space="preserve">- Periodo: 22/7/2025  a 23/8/2025 </v>
      </c>
      <c r="C1579" s="121"/>
      <c r="D1579" s="121"/>
      <c r="E1579" s="121"/>
      <c r="F1579" s="121"/>
      <c r="G1579" s="121"/>
      <c r="H1579" s="121"/>
      <c r="I1579" s="121"/>
      <c r="J1579" s="121"/>
      <c r="K1579" s="121"/>
      <c r="L1579" s="121"/>
      <c r="M1579" s="121"/>
      <c r="N1579" s="121"/>
      <c r="O1579" s="121"/>
      <c r="P1579" s="121"/>
      <c r="Q1579" s="121"/>
      <c r="R1579" s="121"/>
      <c r="S1579" s="121"/>
      <c r="T1579" s="121"/>
      <c r="U1579" s="121"/>
      <c r="V1579" s="121"/>
      <c r="W1579" s="121"/>
      <c r="X1579" s="121"/>
      <c r="Y1579" s="121"/>
      <c r="Z1579" s="121"/>
      <c r="AA1579" s="121"/>
      <c r="AB1579" s="121"/>
    </row>
    <row r="1580" spans="2:29" ht="13.5" customHeight="1">
      <c r="B1580" s="98" t="str">
        <f>CONCATENATE("- Nr Dias: ",INFO!$C$20)</f>
        <v>- Nr Dias: 33</v>
      </c>
      <c r="C1580" s="121"/>
      <c r="D1580" s="121"/>
      <c r="E1580" s="121"/>
      <c r="F1580" s="121"/>
      <c r="G1580" s="121"/>
      <c r="H1580" s="121"/>
      <c r="I1580" s="121"/>
      <c r="J1580" s="121"/>
      <c r="K1580" s="121"/>
      <c r="L1580" s="121"/>
      <c r="M1580" s="121"/>
      <c r="N1580" s="121"/>
      <c r="O1580" s="121"/>
      <c r="P1580" s="121"/>
      <c r="Q1580" s="121"/>
      <c r="R1580" s="121"/>
      <c r="S1580" s="121"/>
      <c r="T1580" s="121"/>
      <c r="U1580" s="121"/>
      <c r="V1580" s="121"/>
      <c r="W1580" s="121"/>
      <c r="X1580" s="121"/>
      <c r="Y1580" s="121"/>
      <c r="Z1580" s="121"/>
      <c r="AA1580" s="121"/>
      <c r="AB1580" s="121"/>
    </row>
    <row r="1581" spans="2:29" ht="13.5" customHeight="1">
      <c r="B1581" s="98" t="str">
        <f>CONCATENATE("- Valor Estimado: R$ ",INDEX(QSGR!$J$16:$J$11170,AC1574))</f>
        <v xml:space="preserve">- Valor Estimado: R$ </v>
      </c>
      <c r="C1581" s="121"/>
      <c r="D1581" s="121"/>
      <c r="E1581" s="121"/>
      <c r="F1581" s="121"/>
      <c r="G1581" s="121"/>
      <c r="H1581" s="121"/>
      <c r="I1581" s="121"/>
      <c r="J1581" s="121"/>
      <c r="K1581" s="121"/>
      <c r="L1581" s="121"/>
      <c r="M1581" s="121"/>
      <c r="N1581" s="121"/>
      <c r="O1581" s="121"/>
      <c r="P1581" s="121"/>
      <c r="Q1581" s="121"/>
      <c r="R1581" s="121"/>
      <c r="S1581" s="121"/>
      <c r="T1581" s="121"/>
      <c r="U1581" s="121"/>
      <c r="V1581" s="121"/>
      <c r="W1581" s="121"/>
      <c r="X1581" s="121"/>
      <c r="Y1581" s="121"/>
      <c r="Z1581" s="121"/>
      <c r="AA1581" s="121"/>
      <c r="AB1581" s="121"/>
    </row>
    <row r="1582" spans="2:29" ht="13.5" customHeight="1">
      <c r="B1582" s="100"/>
      <c r="C1582" s="121"/>
      <c r="D1582" s="121"/>
      <c r="E1582" s="121"/>
      <c r="F1582" s="121"/>
      <c r="G1582" s="121"/>
      <c r="H1582" s="121"/>
      <c r="I1582" s="121"/>
      <c r="J1582" s="121"/>
      <c r="K1582" s="121"/>
      <c r="L1582" s="121"/>
      <c r="M1582" s="121"/>
      <c r="N1582" s="121"/>
      <c r="O1582" s="121"/>
      <c r="P1582" s="121"/>
      <c r="Q1582" s="121"/>
      <c r="R1582" s="121"/>
      <c r="S1582" s="121"/>
      <c r="T1582" s="121"/>
      <c r="U1582" s="121"/>
      <c r="V1582" s="121"/>
      <c r="W1582" s="121"/>
      <c r="X1582" s="121"/>
      <c r="Y1582" s="121"/>
      <c r="Z1582" s="121"/>
      <c r="AA1582" s="121"/>
      <c r="AB1582" s="121"/>
    </row>
    <row r="1583" spans="2:29" ht="13.5" customHeight="1">
      <c r="B1583" s="98" t="s">
        <v>55</v>
      </c>
      <c r="C1583" s="121"/>
      <c r="D1583" s="121"/>
      <c r="E1583" s="121"/>
      <c r="F1583" s="121"/>
      <c r="G1583" s="121"/>
      <c r="H1583" s="121"/>
      <c r="I1583" s="121"/>
      <c r="J1583" s="121"/>
      <c r="K1583" s="121"/>
      <c r="L1583" s="121"/>
      <c r="M1583" s="121"/>
      <c r="N1583" s="121"/>
      <c r="O1583" s="121"/>
      <c r="P1583" s="121"/>
      <c r="Q1583" s="121"/>
      <c r="R1583" s="121"/>
      <c r="S1583" s="121"/>
      <c r="T1583" s="121"/>
      <c r="U1583" s="121"/>
      <c r="V1583" s="121"/>
      <c r="W1583" s="121"/>
      <c r="X1583" s="121"/>
      <c r="Y1583" s="121"/>
      <c r="Z1583" s="121"/>
      <c r="AA1583" s="121"/>
      <c r="AB1583" s="121"/>
      <c r="AC1583" s="37">
        <f>AC1574+1</f>
        <v>176</v>
      </c>
    </row>
    <row r="1584" spans="2:29" ht="13.5" customHeight="1">
      <c r="B1584" s="99">
        <f>INDEX(QSGR!$B$16:$B$1570,AC1583)</f>
        <v>0</v>
      </c>
      <c r="C1584" s="121"/>
      <c r="D1584" s="121"/>
      <c r="E1584" s="97">
        <f>INDEX(QSGR!$D$16:$D$11170,AC1583)</f>
        <v>0</v>
      </c>
      <c r="F1584" s="121"/>
      <c r="G1584" s="121"/>
      <c r="H1584" s="121"/>
      <c r="I1584" s="121"/>
      <c r="J1584" s="121"/>
      <c r="K1584" s="121"/>
      <c r="L1584" s="121"/>
      <c r="M1584" s="121"/>
      <c r="N1584" s="121"/>
      <c r="O1584" s="121"/>
      <c r="P1584" s="121"/>
      <c r="Q1584" s="121"/>
      <c r="R1584" s="121"/>
      <c r="S1584" s="121"/>
      <c r="T1584" s="121"/>
      <c r="U1584" s="121"/>
      <c r="V1584" s="121"/>
      <c r="W1584" s="121"/>
      <c r="X1584" s="121"/>
      <c r="Y1584" s="121"/>
      <c r="Z1584" s="121"/>
      <c r="AA1584" s="121"/>
      <c r="AB1584" s="121"/>
    </row>
    <row r="1585" spans="2:29" ht="13.5" customHeight="1">
      <c r="B1585" s="96" t="str">
        <f>CONCATENATE("- Evento: ",INFO!$B$22)</f>
        <v>- Evento: PARTICIPAR DA OPERAÇÃO HORUS.</v>
      </c>
      <c r="C1585" s="121"/>
      <c r="D1585" s="121"/>
      <c r="E1585" s="121"/>
      <c r="F1585" s="121"/>
      <c r="G1585" s="121"/>
      <c r="H1585" s="121"/>
      <c r="I1585" s="121"/>
      <c r="J1585" s="121"/>
      <c r="K1585" s="121"/>
      <c r="L1585" s="121"/>
      <c r="M1585" s="121"/>
      <c r="N1585" s="121"/>
      <c r="O1585" s="121"/>
      <c r="P1585" s="121"/>
      <c r="Q1585" s="121"/>
      <c r="R1585" s="121"/>
      <c r="S1585" s="121"/>
      <c r="T1585" s="121"/>
      <c r="U1585" s="121"/>
      <c r="V1585" s="121"/>
      <c r="W1585" s="121"/>
      <c r="X1585" s="121"/>
      <c r="Y1585" s="121"/>
      <c r="Z1585" s="121"/>
      <c r="AA1585" s="121"/>
      <c r="AB1585" s="121"/>
    </row>
    <row r="1586" spans="2:29" ht="13.5" customHeight="1">
      <c r="B1586" s="98" t="str">
        <f>CONCATENATE("- Documento de Solicitação: ",INFO!$B$24)</f>
        <v>- Documento de Solicitação: TESTE AZUL</v>
      </c>
      <c r="C1586" s="121"/>
      <c r="D1586" s="121"/>
      <c r="E1586" s="121"/>
      <c r="F1586" s="121"/>
      <c r="G1586" s="121"/>
      <c r="H1586" s="121"/>
      <c r="I1586" s="121"/>
      <c r="J1586" s="121"/>
      <c r="K1586" s="121"/>
      <c r="L1586" s="121"/>
      <c r="M1586" s="121"/>
      <c r="N1586" s="121"/>
      <c r="O1586" s="121"/>
      <c r="P1586" s="121"/>
      <c r="Q1586" s="121"/>
      <c r="R1586" s="121"/>
      <c r="S1586" s="121"/>
      <c r="T1586" s="121"/>
      <c r="U1586" s="121"/>
      <c r="V1586" s="121"/>
      <c r="W1586" s="121"/>
      <c r="X1586" s="121"/>
      <c r="Y1586" s="121"/>
      <c r="Z1586" s="121"/>
      <c r="AA1586" s="121"/>
      <c r="AB1586" s="121"/>
    </row>
    <row r="1587" spans="2:29" ht="13.5" customHeight="1">
      <c r="B1587" s="98" t="str">
        <f>CONCATENATE("- Local: ",INFO!$C$18)</f>
        <v>- Local: GUAIRA - PR</v>
      </c>
      <c r="C1587" s="121"/>
      <c r="D1587" s="121"/>
      <c r="E1587" s="121"/>
      <c r="F1587" s="121"/>
      <c r="G1587" s="121"/>
      <c r="H1587" s="121"/>
      <c r="I1587" s="121"/>
      <c r="J1587" s="121"/>
      <c r="K1587" s="121"/>
      <c r="L1587" s="121"/>
      <c r="M1587" s="121"/>
      <c r="N1587" s="121"/>
      <c r="O1587" s="121"/>
      <c r="P1587" s="121"/>
      <c r="Q1587" s="121"/>
      <c r="R1587" s="121"/>
      <c r="S1587" s="121"/>
      <c r="T1587" s="121"/>
      <c r="U1587" s="121"/>
      <c r="V1587" s="121"/>
      <c r="W1587" s="121"/>
      <c r="X1587" s="121"/>
      <c r="Y1587" s="121"/>
      <c r="Z1587" s="121"/>
      <c r="AA1587" s="121"/>
      <c r="AB1587" s="121"/>
    </row>
    <row r="1588" spans="2:29" ht="13.5" customHeight="1">
      <c r="B1588" s="98" t="str">
        <f>CONCATENATE("- Periodo: ",INFO!$C$10," a ",INFO!$C$19)</f>
        <v xml:space="preserve">- Periodo: 22/7/2025  a 23/8/2025 </v>
      </c>
      <c r="C1588" s="121"/>
      <c r="D1588" s="121"/>
      <c r="E1588" s="121"/>
      <c r="F1588" s="121"/>
      <c r="G1588" s="121"/>
      <c r="H1588" s="121"/>
      <c r="I1588" s="121"/>
      <c r="J1588" s="121"/>
      <c r="K1588" s="121"/>
      <c r="L1588" s="121"/>
      <c r="M1588" s="121"/>
      <c r="N1588" s="121"/>
      <c r="O1588" s="121"/>
      <c r="P1588" s="121"/>
      <c r="Q1588" s="121"/>
      <c r="R1588" s="121"/>
      <c r="S1588" s="121"/>
      <c r="T1588" s="121"/>
      <c r="U1588" s="121"/>
      <c r="V1588" s="121"/>
      <c r="W1588" s="121"/>
      <c r="X1588" s="121"/>
      <c r="Y1588" s="121"/>
      <c r="Z1588" s="121"/>
      <c r="AA1588" s="121"/>
      <c r="AB1588" s="121"/>
    </row>
    <row r="1589" spans="2:29" ht="13.5" customHeight="1">
      <c r="B1589" s="98" t="str">
        <f>CONCATENATE("- Nr Dias: ",INFO!$C$20)</f>
        <v>- Nr Dias: 33</v>
      </c>
      <c r="C1589" s="121"/>
      <c r="D1589" s="121"/>
      <c r="E1589" s="121"/>
      <c r="F1589" s="121"/>
      <c r="G1589" s="121"/>
      <c r="H1589" s="121"/>
      <c r="I1589" s="121"/>
      <c r="J1589" s="121"/>
      <c r="K1589" s="121"/>
      <c r="L1589" s="121"/>
      <c r="M1589" s="121"/>
      <c r="N1589" s="121"/>
      <c r="O1589" s="121"/>
      <c r="P1589" s="121"/>
      <c r="Q1589" s="121"/>
      <c r="R1589" s="121"/>
      <c r="S1589" s="121"/>
      <c r="T1589" s="121"/>
      <c r="U1589" s="121"/>
      <c r="V1589" s="121"/>
      <c r="W1589" s="121"/>
      <c r="X1589" s="121"/>
      <c r="Y1589" s="121"/>
      <c r="Z1589" s="121"/>
      <c r="AA1589" s="121"/>
      <c r="AB1589" s="121"/>
    </row>
    <row r="1590" spans="2:29" ht="13.5" customHeight="1">
      <c r="B1590" s="98" t="str">
        <f>CONCATENATE("- Valor Estimado: R$ ",INDEX(QSGR!$J$16:$J$11170,AC1583))</f>
        <v xml:space="preserve">- Valor Estimado: R$ </v>
      </c>
      <c r="C1590" s="121"/>
      <c r="D1590" s="121"/>
      <c r="E1590" s="121"/>
      <c r="F1590" s="121"/>
      <c r="G1590" s="121"/>
      <c r="H1590" s="121"/>
      <c r="I1590" s="121"/>
      <c r="J1590" s="121"/>
      <c r="K1590" s="121"/>
      <c r="L1590" s="121"/>
      <c r="M1590" s="121"/>
      <c r="N1590" s="121"/>
      <c r="O1590" s="121"/>
      <c r="P1590" s="121"/>
      <c r="Q1590" s="121"/>
      <c r="R1590" s="121"/>
      <c r="S1590" s="121"/>
      <c r="T1590" s="121"/>
      <c r="U1590" s="121"/>
      <c r="V1590" s="121"/>
      <c r="W1590" s="121"/>
      <c r="X1590" s="121"/>
      <c r="Y1590" s="121"/>
      <c r="Z1590" s="121"/>
      <c r="AA1590" s="121"/>
      <c r="AB1590" s="121"/>
    </row>
    <row r="1591" spans="2:29" ht="13.5" customHeight="1">
      <c r="B1591" s="100"/>
      <c r="C1591" s="121"/>
      <c r="D1591" s="121"/>
      <c r="E1591" s="121"/>
      <c r="F1591" s="121"/>
      <c r="G1591" s="121"/>
      <c r="H1591" s="121"/>
      <c r="I1591" s="121"/>
      <c r="J1591" s="121"/>
      <c r="K1591" s="121"/>
      <c r="L1591" s="121"/>
      <c r="M1591" s="121"/>
      <c r="N1591" s="121"/>
      <c r="O1591" s="121"/>
      <c r="P1591" s="121"/>
      <c r="Q1591" s="121"/>
      <c r="R1591" s="121"/>
      <c r="S1591" s="121"/>
      <c r="T1591" s="121"/>
      <c r="U1591" s="121"/>
      <c r="V1591" s="121"/>
      <c r="W1591" s="121"/>
      <c r="X1591" s="121"/>
      <c r="Y1591" s="121"/>
      <c r="Z1591" s="121"/>
      <c r="AA1591" s="121"/>
      <c r="AB1591" s="121"/>
    </row>
    <row r="1592" spans="2:29" ht="13.5" customHeight="1">
      <c r="B1592" s="98" t="s">
        <v>55</v>
      </c>
      <c r="C1592" s="121"/>
      <c r="D1592" s="121"/>
      <c r="E1592" s="121"/>
      <c r="F1592" s="121"/>
      <c r="G1592" s="121"/>
      <c r="H1592" s="121"/>
      <c r="I1592" s="121"/>
      <c r="J1592" s="121"/>
      <c r="K1592" s="121"/>
      <c r="L1592" s="121"/>
      <c r="M1592" s="121"/>
      <c r="N1592" s="121"/>
      <c r="O1592" s="121"/>
      <c r="P1592" s="121"/>
      <c r="Q1592" s="121"/>
      <c r="R1592" s="121"/>
      <c r="S1592" s="121"/>
      <c r="T1592" s="121"/>
      <c r="U1592" s="121"/>
      <c r="V1592" s="121"/>
      <c r="W1592" s="121"/>
      <c r="X1592" s="121"/>
      <c r="Y1592" s="121"/>
      <c r="Z1592" s="121"/>
      <c r="AA1592" s="121"/>
      <c r="AB1592" s="121"/>
      <c r="AC1592" s="37">
        <f>AC1583+1</f>
        <v>177</v>
      </c>
    </row>
    <row r="1593" spans="2:29" ht="13.5" customHeight="1">
      <c r="B1593" s="99">
        <f>INDEX(QSGR!$B$16:$B$1570,AC1592)</f>
        <v>0</v>
      </c>
      <c r="C1593" s="121"/>
      <c r="D1593" s="121"/>
      <c r="E1593" s="97">
        <f>INDEX(QSGR!$D$16:$D$11170,AC1592)</f>
        <v>0</v>
      </c>
      <c r="F1593" s="121"/>
      <c r="G1593" s="121"/>
      <c r="H1593" s="121"/>
      <c r="I1593" s="121"/>
      <c r="J1593" s="121"/>
      <c r="K1593" s="121"/>
      <c r="L1593" s="121"/>
      <c r="M1593" s="121"/>
      <c r="N1593" s="121"/>
      <c r="O1593" s="121"/>
      <c r="P1593" s="121"/>
      <c r="Q1593" s="121"/>
      <c r="R1593" s="121"/>
      <c r="S1593" s="121"/>
      <c r="T1593" s="121"/>
      <c r="U1593" s="121"/>
      <c r="V1593" s="121"/>
      <c r="W1593" s="121"/>
      <c r="X1593" s="121"/>
      <c r="Y1593" s="121"/>
      <c r="Z1593" s="121"/>
      <c r="AA1593" s="121"/>
      <c r="AB1593" s="121"/>
    </row>
    <row r="1594" spans="2:29" ht="13.5" customHeight="1">
      <c r="B1594" s="96" t="str">
        <f>CONCATENATE("- Evento: ",INFO!$B$22)</f>
        <v>- Evento: PARTICIPAR DA OPERAÇÃO HORUS.</v>
      </c>
      <c r="C1594" s="121"/>
      <c r="D1594" s="121"/>
      <c r="E1594" s="121"/>
      <c r="F1594" s="121"/>
      <c r="G1594" s="121"/>
      <c r="H1594" s="121"/>
      <c r="I1594" s="121"/>
      <c r="J1594" s="121"/>
      <c r="K1594" s="121"/>
      <c r="L1594" s="121"/>
      <c r="M1594" s="121"/>
      <c r="N1594" s="121"/>
      <c r="O1594" s="121"/>
      <c r="P1594" s="121"/>
      <c r="Q1594" s="121"/>
      <c r="R1594" s="121"/>
      <c r="S1594" s="121"/>
      <c r="T1594" s="121"/>
      <c r="U1594" s="121"/>
      <c r="V1594" s="121"/>
      <c r="W1594" s="121"/>
      <c r="X1594" s="121"/>
      <c r="Y1594" s="121"/>
      <c r="Z1594" s="121"/>
      <c r="AA1594" s="121"/>
      <c r="AB1594" s="121"/>
    </row>
    <row r="1595" spans="2:29" ht="13.5" customHeight="1">
      <c r="B1595" s="98" t="str">
        <f>CONCATENATE("- Documento de Solicitação: ",INFO!$B$24)</f>
        <v>- Documento de Solicitação: TESTE AZUL</v>
      </c>
      <c r="C1595" s="121"/>
      <c r="D1595" s="121"/>
      <c r="E1595" s="121"/>
      <c r="F1595" s="121"/>
      <c r="G1595" s="121"/>
      <c r="H1595" s="121"/>
      <c r="I1595" s="121"/>
      <c r="J1595" s="121"/>
      <c r="K1595" s="121"/>
      <c r="L1595" s="121"/>
      <c r="M1595" s="121"/>
      <c r="N1595" s="121"/>
      <c r="O1595" s="121"/>
      <c r="P1595" s="121"/>
      <c r="Q1595" s="121"/>
      <c r="R1595" s="121"/>
      <c r="S1595" s="121"/>
      <c r="T1595" s="121"/>
      <c r="U1595" s="121"/>
      <c r="V1595" s="121"/>
      <c r="W1595" s="121"/>
      <c r="X1595" s="121"/>
      <c r="Y1595" s="121"/>
      <c r="Z1595" s="121"/>
      <c r="AA1595" s="121"/>
      <c r="AB1595" s="121"/>
    </row>
    <row r="1596" spans="2:29" ht="13.5" customHeight="1">
      <c r="B1596" s="98" t="str">
        <f>CONCATENATE("- Local: ",INFO!$C$18)</f>
        <v>- Local: GUAIRA - PR</v>
      </c>
      <c r="C1596" s="121"/>
      <c r="D1596" s="121"/>
      <c r="E1596" s="121"/>
      <c r="F1596" s="121"/>
      <c r="G1596" s="121"/>
      <c r="H1596" s="121"/>
      <c r="I1596" s="121"/>
      <c r="J1596" s="121"/>
      <c r="K1596" s="121"/>
      <c r="L1596" s="121"/>
      <c r="M1596" s="121"/>
      <c r="N1596" s="121"/>
      <c r="O1596" s="121"/>
      <c r="P1596" s="121"/>
      <c r="Q1596" s="121"/>
      <c r="R1596" s="121"/>
      <c r="S1596" s="121"/>
      <c r="T1596" s="121"/>
      <c r="U1596" s="121"/>
      <c r="V1596" s="121"/>
      <c r="W1596" s="121"/>
      <c r="X1596" s="121"/>
      <c r="Y1596" s="121"/>
      <c r="Z1596" s="121"/>
      <c r="AA1596" s="121"/>
      <c r="AB1596" s="121"/>
    </row>
    <row r="1597" spans="2:29" ht="13.5" customHeight="1">
      <c r="B1597" s="98" t="str">
        <f>CONCATENATE("- Periodo: ",INFO!$C$10," a ",INFO!$C$19)</f>
        <v xml:space="preserve">- Periodo: 22/7/2025  a 23/8/2025 </v>
      </c>
      <c r="C1597" s="121"/>
      <c r="D1597" s="121"/>
      <c r="E1597" s="121"/>
      <c r="F1597" s="121"/>
      <c r="G1597" s="121"/>
      <c r="H1597" s="121"/>
      <c r="I1597" s="121"/>
      <c r="J1597" s="121"/>
      <c r="K1597" s="121"/>
      <c r="L1597" s="121"/>
      <c r="M1597" s="121"/>
      <c r="N1597" s="121"/>
      <c r="O1597" s="121"/>
      <c r="P1597" s="121"/>
      <c r="Q1597" s="121"/>
      <c r="R1597" s="121"/>
      <c r="S1597" s="121"/>
      <c r="T1597" s="121"/>
      <c r="U1597" s="121"/>
      <c r="V1597" s="121"/>
      <c r="W1597" s="121"/>
      <c r="X1597" s="121"/>
      <c r="Y1597" s="121"/>
      <c r="Z1597" s="121"/>
      <c r="AA1597" s="121"/>
      <c r="AB1597" s="121"/>
    </row>
    <row r="1598" spans="2:29" ht="13.5" customHeight="1">
      <c r="B1598" s="98" t="str">
        <f>CONCATENATE("- Nr Dias: ",INFO!$C$20)</f>
        <v>- Nr Dias: 33</v>
      </c>
      <c r="C1598" s="121"/>
      <c r="D1598" s="121"/>
      <c r="E1598" s="121"/>
      <c r="F1598" s="121"/>
      <c r="G1598" s="121"/>
      <c r="H1598" s="121"/>
      <c r="I1598" s="121"/>
      <c r="J1598" s="121"/>
      <c r="K1598" s="121"/>
      <c r="L1598" s="121"/>
      <c r="M1598" s="121"/>
      <c r="N1598" s="121"/>
      <c r="O1598" s="121"/>
      <c r="P1598" s="121"/>
      <c r="Q1598" s="121"/>
      <c r="R1598" s="121"/>
      <c r="S1598" s="121"/>
      <c r="T1598" s="121"/>
      <c r="U1598" s="121"/>
      <c r="V1598" s="121"/>
      <c r="W1598" s="121"/>
      <c r="X1598" s="121"/>
      <c r="Y1598" s="121"/>
      <c r="Z1598" s="121"/>
      <c r="AA1598" s="121"/>
      <c r="AB1598" s="121"/>
    </row>
    <row r="1599" spans="2:29" ht="13.5" customHeight="1">
      <c r="B1599" s="98" t="str">
        <f>CONCATENATE("- Valor Estimado: R$ ",INDEX(QSGR!$J$16:$J$11170,AC1592))</f>
        <v xml:space="preserve">- Valor Estimado: R$ </v>
      </c>
      <c r="C1599" s="121"/>
      <c r="D1599" s="121"/>
      <c r="E1599" s="121"/>
      <c r="F1599" s="121"/>
      <c r="G1599" s="121"/>
      <c r="H1599" s="121"/>
      <c r="I1599" s="121"/>
      <c r="J1599" s="121"/>
      <c r="K1599" s="121"/>
      <c r="L1599" s="121"/>
      <c r="M1599" s="121"/>
      <c r="N1599" s="121"/>
      <c r="O1599" s="121"/>
      <c r="P1599" s="121"/>
      <c r="Q1599" s="121"/>
      <c r="R1599" s="121"/>
      <c r="S1599" s="121"/>
      <c r="T1599" s="121"/>
      <c r="U1599" s="121"/>
      <c r="V1599" s="121"/>
      <c r="W1599" s="121"/>
      <c r="X1599" s="121"/>
      <c r="Y1599" s="121"/>
      <c r="Z1599" s="121"/>
      <c r="AA1599" s="121"/>
      <c r="AB1599" s="121"/>
    </row>
    <row r="1600" spans="2:29" ht="13.5" customHeight="1">
      <c r="B1600" s="100"/>
      <c r="C1600" s="121"/>
      <c r="D1600" s="121"/>
      <c r="E1600" s="121"/>
      <c r="F1600" s="121"/>
      <c r="G1600" s="121"/>
      <c r="H1600" s="121"/>
      <c r="I1600" s="121"/>
      <c r="J1600" s="121"/>
      <c r="K1600" s="121"/>
      <c r="L1600" s="121"/>
      <c r="M1600" s="121"/>
      <c r="N1600" s="121"/>
      <c r="O1600" s="121"/>
      <c r="P1600" s="121"/>
      <c r="Q1600" s="121"/>
      <c r="R1600" s="121"/>
      <c r="S1600" s="121"/>
      <c r="T1600" s="121"/>
      <c r="U1600" s="121"/>
      <c r="V1600" s="121"/>
      <c r="W1600" s="121"/>
      <c r="X1600" s="121"/>
      <c r="Y1600" s="121"/>
      <c r="Z1600" s="121"/>
      <c r="AA1600" s="121"/>
      <c r="AB1600" s="121"/>
    </row>
    <row r="1601" spans="2:29" ht="13.5" customHeight="1">
      <c r="B1601" s="98" t="s">
        <v>55</v>
      </c>
      <c r="C1601" s="121"/>
      <c r="D1601" s="121"/>
      <c r="E1601" s="121"/>
      <c r="F1601" s="121"/>
      <c r="G1601" s="121"/>
      <c r="H1601" s="121"/>
      <c r="I1601" s="121"/>
      <c r="J1601" s="121"/>
      <c r="K1601" s="121"/>
      <c r="L1601" s="121"/>
      <c r="M1601" s="121"/>
      <c r="N1601" s="121"/>
      <c r="O1601" s="121"/>
      <c r="P1601" s="121"/>
      <c r="Q1601" s="121"/>
      <c r="R1601" s="121"/>
      <c r="S1601" s="121"/>
      <c r="T1601" s="121"/>
      <c r="U1601" s="121"/>
      <c r="V1601" s="121"/>
      <c r="W1601" s="121"/>
      <c r="X1601" s="121"/>
      <c r="Y1601" s="121"/>
      <c r="Z1601" s="121"/>
      <c r="AA1601" s="121"/>
      <c r="AB1601" s="121"/>
      <c r="AC1601" s="37">
        <f>AC1592+1</f>
        <v>178</v>
      </c>
    </row>
    <row r="1602" spans="2:29" ht="13.5" customHeight="1">
      <c r="B1602" s="99">
        <f>INDEX(QSGR!$B$16:$B$1570,AC1601)</f>
        <v>0</v>
      </c>
      <c r="C1602" s="121"/>
      <c r="D1602" s="121"/>
      <c r="E1602" s="97">
        <f>INDEX(QSGR!$D$16:$D$11170,AC1601)</f>
        <v>0</v>
      </c>
      <c r="F1602" s="121"/>
      <c r="G1602" s="121"/>
      <c r="H1602" s="121"/>
      <c r="I1602" s="121"/>
      <c r="J1602" s="121"/>
      <c r="K1602" s="121"/>
      <c r="L1602" s="121"/>
      <c r="M1602" s="121"/>
      <c r="N1602" s="121"/>
      <c r="O1602" s="121"/>
      <c r="P1602" s="121"/>
      <c r="Q1602" s="121"/>
      <c r="R1602" s="121"/>
      <c r="S1602" s="121"/>
      <c r="T1602" s="121"/>
      <c r="U1602" s="121"/>
      <c r="V1602" s="121"/>
      <c r="W1602" s="121"/>
      <c r="X1602" s="121"/>
      <c r="Y1602" s="121"/>
      <c r="Z1602" s="121"/>
      <c r="AA1602" s="121"/>
      <c r="AB1602" s="121"/>
    </row>
    <row r="1603" spans="2:29" ht="13.5" customHeight="1">
      <c r="B1603" s="96" t="str">
        <f>CONCATENATE("- Evento: ",INFO!$B$22)</f>
        <v>- Evento: PARTICIPAR DA OPERAÇÃO HORUS.</v>
      </c>
      <c r="C1603" s="121"/>
      <c r="D1603" s="121"/>
      <c r="E1603" s="121"/>
      <c r="F1603" s="121"/>
      <c r="G1603" s="121"/>
      <c r="H1603" s="121"/>
      <c r="I1603" s="121"/>
      <c r="J1603" s="121"/>
      <c r="K1603" s="121"/>
      <c r="L1603" s="121"/>
      <c r="M1603" s="121"/>
      <c r="N1603" s="121"/>
      <c r="O1603" s="121"/>
      <c r="P1603" s="121"/>
      <c r="Q1603" s="121"/>
      <c r="R1603" s="121"/>
      <c r="S1603" s="121"/>
      <c r="T1603" s="121"/>
      <c r="U1603" s="121"/>
      <c r="V1603" s="121"/>
      <c r="W1603" s="121"/>
      <c r="X1603" s="121"/>
      <c r="Y1603" s="121"/>
      <c r="Z1603" s="121"/>
      <c r="AA1603" s="121"/>
      <c r="AB1603" s="121"/>
    </row>
    <row r="1604" spans="2:29" ht="13.5" customHeight="1">
      <c r="B1604" s="98" t="str">
        <f>CONCATENATE("- Documento de Solicitação: ",INFO!$B$24)</f>
        <v>- Documento de Solicitação: TESTE AZUL</v>
      </c>
      <c r="C1604" s="121"/>
      <c r="D1604" s="121"/>
      <c r="E1604" s="121"/>
      <c r="F1604" s="121"/>
      <c r="G1604" s="121"/>
      <c r="H1604" s="121"/>
      <c r="I1604" s="121"/>
      <c r="J1604" s="121"/>
      <c r="K1604" s="121"/>
      <c r="L1604" s="121"/>
      <c r="M1604" s="121"/>
      <c r="N1604" s="121"/>
      <c r="O1604" s="121"/>
      <c r="P1604" s="121"/>
      <c r="Q1604" s="121"/>
      <c r="R1604" s="121"/>
      <c r="S1604" s="121"/>
      <c r="T1604" s="121"/>
      <c r="U1604" s="121"/>
      <c r="V1604" s="121"/>
      <c r="W1604" s="121"/>
      <c r="X1604" s="121"/>
      <c r="Y1604" s="121"/>
      <c r="Z1604" s="121"/>
      <c r="AA1604" s="121"/>
      <c r="AB1604" s="121"/>
    </row>
    <row r="1605" spans="2:29" ht="13.5" customHeight="1">
      <c r="B1605" s="98" t="str">
        <f>CONCATENATE("- Local: ",INFO!$C$18)</f>
        <v>- Local: GUAIRA - PR</v>
      </c>
      <c r="C1605" s="121"/>
      <c r="D1605" s="121"/>
      <c r="E1605" s="121"/>
      <c r="F1605" s="121"/>
      <c r="G1605" s="121"/>
      <c r="H1605" s="121"/>
      <c r="I1605" s="121"/>
      <c r="J1605" s="121"/>
      <c r="K1605" s="121"/>
      <c r="L1605" s="121"/>
      <c r="M1605" s="121"/>
      <c r="N1605" s="121"/>
      <c r="O1605" s="121"/>
      <c r="P1605" s="121"/>
      <c r="Q1605" s="121"/>
      <c r="R1605" s="121"/>
      <c r="S1605" s="121"/>
      <c r="T1605" s="121"/>
      <c r="U1605" s="121"/>
      <c r="V1605" s="121"/>
      <c r="W1605" s="121"/>
      <c r="X1605" s="121"/>
      <c r="Y1605" s="121"/>
      <c r="Z1605" s="121"/>
      <c r="AA1605" s="121"/>
      <c r="AB1605" s="121"/>
    </row>
    <row r="1606" spans="2:29" ht="13.5" customHeight="1">
      <c r="B1606" s="98" t="str">
        <f>CONCATENATE("- Periodo: ",INFO!$C$10," a ",INFO!$C$19)</f>
        <v xml:space="preserve">- Periodo: 22/7/2025  a 23/8/2025 </v>
      </c>
      <c r="C1606" s="121"/>
      <c r="D1606" s="121"/>
      <c r="E1606" s="121"/>
      <c r="F1606" s="121"/>
      <c r="G1606" s="121"/>
      <c r="H1606" s="121"/>
      <c r="I1606" s="121"/>
      <c r="J1606" s="121"/>
      <c r="K1606" s="121"/>
      <c r="L1606" s="121"/>
      <c r="M1606" s="121"/>
      <c r="N1606" s="121"/>
      <c r="O1606" s="121"/>
      <c r="P1606" s="121"/>
      <c r="Q1606" s="121"/>
      <c r="R1606" s="121"/>
      <c r="S1606" s="121"/>
      <c r="T1606" s="121"/>
      <c r="U1606" s="121"/>
      <c r="V1606" s="121"/>
      <c r="W1606" s="121"/>
      <c r="X1606" s="121"/>
      <c r="Y1606" s="121"/>
      <c r="Z1606" s="121"/>
      <c r="AA1606" s="121"/>
      <c r="AB1606" s="121"/>
    </row>
    <row r="1607" spans="2:29" ht="13.5" customHeight="1">
      <c r="B1607" s="98" t="str">
        <f>CONCATENATE("- Nr Dias: ",INFO!$C$20)</f>
        <v>- Nr Dias: 33</v>
      </c>
      <c r="C1607" s="121"/>
      <c r="D1607" s="121"/>
      <c r="E1607" s="121"/>
      <c r="F1607" s="121"/>
      <c r="G1607" s="121"/>
      <c r="H1607" s="121"/>
      <c r="I1607" s="121"/>
      <c r="J1607" s="121"/>
      <c r="K1607" s="121"/>
      <c r="L1607" s="121"/>
      <c r="M1607" s="121"/>
      <c r="N1607" s="121"/>
      <c r="O1607" s="121"/>
      <c r="P1607" s="121"/>
      <c r="Q1607" s="121"/>
      <c r="R1607" s="121"/>
      <c r="S1607" s="121"/>
      <c r="T1607" s="121"/>
      <c r="U1607" s="121"/>
      <c r="V1607" s="121"/>
      <c r="W1607" s="121"/>
      <c r="X1607" s="121"/>
      <c r="Y1607" s="121"/>
      <c r="Z1607" s="121"/>
      <c r="AA1607" s="121"/>
      <c r="AB1607" s="121"/>
    </row>
    <row r="1608" spans="2:29" ht="13.5" customHeight="1">
      <c r="B1608" s="98" t="str">
        <f>CONCATENATE("- Valor Estimado: R$ ",INDEX(QSGR!$J$16:$J$11170,AC1601))</f>
        <v xml:space="preserve">- Valor Estimado: R$ </v>
      </c>
      <c r="C1608" s="121"/>
      <c r="D1608" s="121"/>
      <c r="E1608" s="121"/>
      <c r="F1608" s="121"/>
      <c r="G1608" s="121"/>
      <c r="H1608" s="121"/>
      <c r="I1608" s="121"/>
      <c r="J1608" s="121"/>
      <c r="K1608" s="121"/>
      <c r="L1608" s="121"/>
      <c r="M1608" s="121"/>
      <c r="N1608" s="121"/>
      <c r="O1608" s="121"/>
      <c r="P1608" s="121"/>
      <c r="Q1608" s="121"/>
      <c r="R1608" s="121"/>
      <c r="S1608" s="121"/>
      <c r="T1608" s="121"/>
      <c r="U1608" s="121"/>
      <c r="V1608" s="121"/>
      <c r="W1608" s="121"/>
      <c r="X1608" s="121"/>
      <c r="Y1608" s="121"/>
      <c r="Z1608" s="121"/>
      <c r="AA1608" s="121"/>
      <c r="AB1608" s="121"/>
    </row>
    <row r="1609" spans="2:29" ht="13.5" customHeight="1">
      <c r="B1609" s="100"/>
      <c r="C1609" s="121"/>
      <c r="D1609" s="121"/>
      <c r="E1609" s="121"/>
      <c r="F1609" s="121"/>
      <c r="G1609" s="121"/>
      <c r="H1609" s="121"/>
      <c r="I1609" s="121"/>
      <c r="J1609" s="121"/>
      <c r="K1609" s="121"/>
      <c r="L1609" s="121"/>
      <c r="M1609" s="121"/>
      <c r="N1609" s="121"/>
      <c r="O1609" s="121"/>
      <c r="P1609" s="121"/>
      <c r="Q1609" s="121"/>
      <c r="R1609" s="121"/>
      <c r="S1609" s="121"/>
      <c r="T1609" s="121"/>
      <c r="U1609" s="121"/>
      <c r="V1609" s="121"/>
      <c r="W1609" s="121"/>
      <c r="X1609" s="121"/>
      <c r="Y1609" s="121"/>
      <c r="Z1609" s="121"/>
      <c r="AA1609" s="121"/>
      <c r="AB1609" s="121"/>
    </row>
    <row r="1610" spans="2:29" ht="13.5" customHeight="1">
      <c r="B1610" s="98" t="s">
        <v>55</v>
      </c>
      <c r="C1610" s="121"/>
      <c r="D1610" s="121"/>
      <c r="E1610" s="121"/>
      <c r="F1610" s="121"/>
      <c r="G1610" s="121"/>
      <c r="H1610" s="121"/>
      <c r="I1610" s="121"/>
      <c r="J1610" s="121"/>
      <c r="K1610" s="121"/>
      <c r="L1610" s="121"/>
      <c r="M1610" s="121"/>
      <c r="N1610" s="121"/>
      <c r="O1610" s="121"/>
      <c r="P1610" s="121"/>
      <c r="Q1610" s="121"/>
      <c r="R1610" s="121"/>
      <c r="S1610" s="121"/>
      <c r="T1610" s="121"/>
      <c r="U1610" s="121"/>
      <c r="V1610" s="121"/>
      <c r="W1610" s="121"/>
      <c r="X1610" s="121"/>
      <c r="Y1610" s="121"/>
      <c r="Z1610" s="121"/>
      <c r="AA1610" s="121"/>
      <c r="AB1610" s="121"/>
      <c r="AC1610" s="37">
        <f>AC1601+1</f>
        <v>179</v>
      </c>
    </row>
    <row r="1611" spans="2:29" ht="13.5" customHeight="1">
      <c r="B1611" s="99">
        <f>INDEX(QSGR!$B$16:$B$1570,AC1610)</f>
        <v>0</v>
      </c>
      <c r="C1611" s="121"/>
      <c r="D1611" s="121"/>
      <c r="E1611" s="97">
        <f>INDEX(QSGR!$D$16:$D$11170,AC1610)</f>
        <v>0</v>
      </c>
      <c r="F1611" s="121"/>
      <c r="G1611" s="121"/>
      <c r="H1611" s="121"/>
      <c r="I1611" s="121"/>
      <c r="J1611" s="121"/>
      <c r="K1611" s="121"/>
      <c r="L1611" s="121"/>
      <c r="M1611" s="121"/>
      <c r="N1611" s="121"/>
      <c r="O1611" s="121"/>
      <c r="P1611" s="121"/>
      <c r="Q1611" s="121"/>
      <c r="R1611" s="121"/>
      <c r="S1611" s="121"/>
      <c r="T1611" s="121"/>
      <c r="U1611" s="121"/>
      <c r="V1611" s="121"/>
      <c r="W1611" s="121"/>
      <c r="X1611" s="121"/>
      <c r="Y1611" s="121"/>
      <c r="Z1611" s="121"/>
      <c r="AA1611" s="121"/>
      <c r="AB1611" s="121"/>
    </row>
    <row r="1612" spans="2:29" ht="13.5" customHeight="1">
      <c r="B1612" s="96" t="str">
        <f>CONCATENATE("- Evento: ",INFO!$B$22)</f>
        <v>- Evento: PARTICIPAR DA OPERAÇÃO HORUS.</v>
      </c>
      <c r="C1612" s="121"/>
      <c r="D1612" s="121"/>
      <c r="E1612" s="121"/>
      <c r="F1612" s="121"/>
      <c r="G1612" s="121"/>
      <c r="H1612" s="121"/>
      <c r="I1612" s="121"/>
      <c r="J1612" s="121"/>
      <c r="K1612" s="121"/>
      <c r="L1612" s="121"/>
      <c r="M1612" s="121"/>
      <c r="N1612" s="121"/>
      <c r="O1612" s="121"/>
      <c r="P1612" s="121"/>
      <c r="Q1612" s="121"/>
      <c r="R1612" s="121"/>
      <c r="S1612" s="121"/>
      <c r="T1612" s="121"/>
      <c r="U1612" s="121"/>
      <c r="V1612" s="121"/>
      <c r="W1612" s="121"/>
      <c r="X1612" s="121"/>
      <c r="Y1612" s="121"/>
      <c r="Z1612" s="121"/>
      <c r="AA1612" s="121"/>
      <c r="AB1612" s="121"/>
    </row>
    <row r="1613" spans="2:29" ht="13.5" customHeight="1">
      <c r="B1613" s="98" t="str">
        <f>CONCATENATE("- Documento de Solicitação: ",INFO!$B$24)</f>
        <v>- Documento de Solicitação: TESTE AZUL</v>
      </c>
      <c r="C1613" s="121"/>
      <c r="D1613" s="121"/>
      <c r="E1613" s="121"/>
      <c r="F1613" s="121"/>
      <c r="G1613" s="121"/>
      <c r="H1613" s="121"/>
      <c r="I1613" s="121"/>
      <c r="J1613" s="121"/>
      <c r="K1613" s="121"/>
      <c r="L1613" s="121"/>
      <c r="M1613" s="121"/>
      <c r="N1613" s="121"/>
      <c r="O1613" s="121"/>
      <c r="P1613" s="121"/>
      <c r="Q1613" s="121"/>
      <c r="R1613" s="121"/>
      <c r="S1613" s="121"/>
      <c r="T1613" s="121"/>
      <c r="U1613" s="121"/>
      <c r="V1613" s="121"/>
      <c r="W1613" s="121"/>
      <c r="X1613" s="121"/>
      <c r="Y1613" s="121"/>
      <c r="Z1613" s="121"/>
      <c r="AA1613" s="121"/>
      <c r="AB1613" s="121"/>
    </row>
    <row r="1614" spans="2:29" ht="13.5" customHeight="1">
      <c r="B1614" s="98" t="str">
        <f>CONCATENATE("- Local: ",INFO!$C$18)</f>
        <v>- Local: GUAIRA - PR</v>
      </c>
      <c r="C1614" s="121"/>
      <c r="D1614" s="121"/>
      <c r="E1614" s="121"/>
      <c r="F1614" s="121"/>
      <c r="G1614" s="121"/>
      <c r="H1614" s="121"/>
      <c r="I1614" s="121"/>
      <c r="J1614" s="121"/>
      <c r="K1614" s="121"/>
      <c r="L1614" s="121"/>
      <c r="M1614" s="121"/>
      <c r="N1614" s="121"/>
      <c r="O1614" s="121"/>
      <c r="P1614" s="121"/>
      <c r="Q1614" s="121"/>
      <c r="R1614" s="121"/>
      <c r="S1614" s="121"/>
      <c r="T1614" s="121"/>
      <c r="U1614" s="121"/>
      <c r="V1614" s="121"/>
      <c r="W1614" s="121"/>
      <c r="X1614" s="121"/>
      <c r="Y1614" s="121"/>
      <c r="Z1614" s="121"/>
      <c r="AA1614" s="121"/>
      <c r="AB1614" s="121"/>
    </row>
    <row r="1615" spans="2:29" ht="13.5" customHeight="1">
      <c r="B1615" s="98" t="str">
        <f>CONCATENATE("- Periodo: ",INFO!$C$10," a ",INFO!$C$19)</f>
        <v xml:space="preserve">- Periodo: 22/7/2025  a 23/8/2025 </v>
      </c>
      <c r="C1615" s="121"/>
      <c r="D1615" s="121"/>
      <c r="E1615" s="121"/>
      <c r="F1615" s="121"/>
      <c r="G1615" s="121"/>
      <c r="H1615" s="121"/>
      <c r="I1615" s="121"/>
      <c r="J1615" s="121"/>
      <c r="K1615" s="121"/>
      <c r="L1615" s="121"/>
      <c r="M1615" s="121"/>
      <c r="N1615" s="121"/>
      <c r="O1615" s="121"/>
      <c r="P1615" s="121"/>
      <c r="Q1615" s="121"/>
      <c r="R1615" s="121"/>
      <c r="S1615" s="121"/>
      <c r="T1615" s="121"/>
      <c r="U1615" s="121"/>
      <c r="V1615" s="121"/>
      <c r="W1615" s="121"/>
      <c r="X1615" s="121"/>
      <c r="Y1615" s="121"/>
      <c r="Z1615" s="121"/>
      <c r="AA1615" s="121"/>
      <c r="AB1615" s="121"/>
    </row>
    <row r="1616" spans="2:29" ht="13.5" customHeight="1">
      <c r="B1616" s="98" t="str">
        <f>CONCATENATE("- Nr Dias: ",INFO!$C$20)</f>
        <v>- Nr Dias: 33</v>
      </c>
      <c r="C1616" s="121"/>
      <c r="D1616" s="121"/>
      <c r="E1616" s="121"/>
      <c r="F1616" s="121"/>
      <c r="G1616" s="121"/>
      <c r="H1616" s="121"/>
      <c r="I1616" s="121"/>
      <c r="J1616" s="121"/>
      <c r="K1616" s="121"/>
      <c r="L1616" s="121"/>
      <c r="M1616" s="121"/>
      <c r="N1616" s="121"/>
      <c r="O1616" s="121"/>
      <c r="P1616" s="121"/>
      <c r="Q1616" s="121"/>
      <c r="R1616" s="121"/>
      <c r="S1616" s="121"/>
      <c r="T1616" s="121"/>
      <c r="U1616" s="121"/>
      <c r="V1616" s="121"/>
      <c r="W1616" s="121"/>
      <c r="X1616" s="121"/>
      <c r="Y1616" s="121"/>
      <c r="Z1616" s="121"/>
      <c r="AA1616" s="121"/>
      <c r="AB1616" s="121"/>
    </row>
    <row r="1617" spans="2:29" ht="13.5" customHeight="1">
      <c r="B1617" s="98" t="str">
        <f>CONCATENATE("- Valor Estimado: R$ ",INDEX(QSGR!$J$16:$J$11170,AC1610))</f>
        <v xml:space="preserve">- Valor Estimado: R$ </v>
      </c>
      <c r="C1617" s="121"/>
      <c r="D1617" s="121"/>
      <c r="E1617" s="121"/>
      <c r="F1617" s="121"/>
      <c r="G1617" s="121"/>
      <c r="H1617" s="121"/>
      <c r="I1617" s="121"/>
      <c r="J1617" s="121"/>
      <c r="K1617" s="121"/>
      <c r="L1617" s="121"/>
      <c r="M1617" s="121"/>
      <c r="N1617" s="121"/>
      <c r="O1617" s="121"/>
      <c r="P1617" s="121"/>
      <c r="Q1617" s="121"/>
      <c r="R1617" s="121"/>
      <c r="S1617" s="121"/>
      <c r="T1617" s="121"/>
      <c r="U1617" s="121"/>
      <c r="V1617" s="121"/>
      <c r="W1617" s="121"/>
      <c r="X1617" s="121"/>
      <c r="Y1617" s="121"/>
      <c r="Z1617" s="121"/>
      <c r="AA1617" s="121"/>
      <c r="AB1617" s="121"/>
    </row>
    <row r="1618" spans="2:29" ht="13.5" customHeight="1">
      <c r="B1618" s="100"/>
      <c r="C1618" s="121"/>
      <c r="D1618" s="121"/>
      <c r="E1618" s="121"/>
      <c r="F1618" s="121"/>
      <c r="G1618" s="121"/>
      <c r="H1618" s="121"/>
      <c r="I1618" s="121"/>
      <c r="J1618" s="121"/>
      <c r="K1618" s="121"/>
      <c r="L1618" s="121"/>
      <c r="M1618" s="121"/>
      <c r="N1618" s="121"/>
      <c r="O1618" s="121"/>
      <c r="P1618" s="121"/>
      <c r="Q1618" s="121"/>
      <c r="R1618" s="121"/>
      <c r="S1618" s="121"/>
      <c r="T1618" s="121"/>
      <c r="U1618" s="121"/>
      <c r="V1618" s="121"/>
      <c r="W1618" s="121"/>
      <c r="X1618" s="121"/>
      <c r="Y1618" s="121"/>
      <c r="Z1618" s="121"/>
      <c r="AA1618" s="121"/>
      <c r="AB1618" s="121"/>
    </row>
    <row r="1619" spans="2:29" ht="13.5" customHeight="1">
      <c r="B1619" s="98" t="s">
        <v>55</v>
      </c>
      <c r="C1619" s="121"/>
      <c r="D1619" s="121"/>
      <c r="E1619" s="121"/>
      <c r="F1619" s="121"/>
      <c r="G1619" s="121"/>
      <c r="H1619" s="121"/>
      <c r="I1619" s="121"/>
      <c r="J1619" s="121"/>
      <c r="K1619" s="121"/>
      <c r="L1619" s="121"/>
      <c r="M1619" s="121"/>
      <c r="N1619" s="121"/>
      <c r="O1619" s="121"/>
      <c r="P1619" s="121"/>
      <c r="Q1619" s="121"/>
      <c r="R1619" s="121"/>
      <c r="S1619" s="121"/>
      <c r="T1619" s="121"/>
      <c r="U1619" s="121"/>
      <c r="V1619" s="121"/>
      <c r="W1619" s="121"/>
      <c r="X1619" s="121"/>
      <c r="Y1619" s="121"/>
      <c r="Z1619" s="121"/>
      <c r="AA1619" s="121"/>
      <c r="AB1619" s="121"/>
      <c r="AC1619" s="37">
        <f>AC1610+1</f>
        <v>180</v>
      </c>
    </row>
    <row r="1620" spans="2:29" ht="13.5" customHeight="1">
      <c r="B1620" s="99">
        <f>INDEX(QSGR!$B$16:$B$1570,AC1619)</f>
        <v>0</v>
      </c>
      <c r="C1620" s="121"/>
      <c r="D1620" s="121"/>
      <c r="E1620" s="97">
        <f>INDEX(QSGR!$D$16:$D$11170,AC1619)</f>
        <v>0</v>
      </c>
      <c r="F1620" s="121"/>
      <c r="G1620" s="121"/>
      <c r="H1620" s="121"/>
      <c r="I1620" s="121"/>
      <c r="J1620" s="121"/>
      <c r="K1620" s="121"/>
      <c r="L1620" s="121"/>
      <c r="M1620" s="121"/>
      <c r="N1620" s="121"/>
      <c r="O1620" s="121"/>
      <c r="P1620" s="121"/>
      <c r="Q1620" s="121"/>
      <c r="R1620" s="121"/>
      <c r="S1620" s="121"/>
      <c r="T1620" s="121"/>
      <c r="U1620" s="121"/>
      <c r="V1620" s="121"/>
      <c r="W1620" s="121"/>
      <c r="X1620" s="121"/>
      <c r="Y1620" s="121"/>
      <c r="Z1620" s="121"/>
      <c r="AA1620" s="121"/>
      <c r="AB1620" s="121"/>
    </row>
    <row r="1621" spans="2:29" ht="13.5" customHeight="1">
      <c r="B1621" s="96" t="str">
        <f>CONCATENATE("- Evento: ",INFO!$B$22)</f>
        <v>- Evento: PARTICIPAR DA OPERAÇÃO HORUS.</v>
      </c>
      <c r="C1621" s="121"/>
      <c r="D1621" s="121"/>
      <c r="E1621" s="121"/>
      <c r="F1621" s="121"/>
      <c r="G1621" s="121"/>
      <c r="H1621" s="121"/>
      <c r="I1621" s="121"/>
      <c r="J1621" s="121"/>
      <c r="K1621" s="121"/>
      <c r="L1621" s="121"/>
      <c r="M1621" s="121"/>
      <c r="N1621" s="121"/>
      <c r="O1621" s="121"/>
      <c r="P1621" s="121"/>
      <c r="Q1621" s="121"/>
      <c r="R1621" s="121"/>
      <c r="S1621" s="121"/>
      <c r="T1621" s="121"/>
      <c r="U1621" s="121"/>
      <c r="V1621" s="121"/>
      <c r="W1621" s="121"/>
      <c r="X1621" s="121"/>
      <c r="Y1621" s="121"/>
      <c r="Z1621" s="121"/>
      <c r="AA1621" s="121"/>
      <c r="AB1621" s="121"/>
    </row>
    <row r="1622" spans="2:29" ht="13.5" customHeight="1">
      <c r="B1622" s="98" t="str">
        <f>CONCATENATE("- Documento de Solicitação: ",INFO!$B$24)</f>
        <v>- Documento de Solicitação: TESTE AZUL</v>
      </c>
      <c r="C1622" s="121"/>
      <c r="D1622" s="121"/>
      <c r="E1622" s="121"/>
      <c r="F1622" s="121"/>
      <c r="G1622" s="121"/>
      <c r="H1622" s="121"/>
      <c r="I1622" s="121"/>
      <c r="J1622" s="121"/>
      <c r="K1622" s="121"/>
      <c r="L1622" s="121"/>
      <c r="M1622" s="121"/>
      <c r="N1622" s="121"/>
      <c r="O1622" s="121"/>
      <c r="P1622" s="121"/>
      <c r="Q1622" s="121"/>
      <c r="R1622" s="121"/>
      <c r="S1622" s="121"/>
      <c r="T1622" s="121"/>
      <c r="U1622" s="121"/>
      <c r="V1622" s="121"/>
      <c r="W1622" s="121"/>
      <c r="X1622" s="121"/>
      <c r="Y1622" s="121"/>
      <c r="Z1622" s="121"/>
      <c r="AA1622" s="121"/>
      <c r="AB1622" s="121"/>
    </row>
    <row r="1623" spans="2:29" ht="13.5" customHeight="1">
      <c r="B1623" s="98" t="str">
        <f>CONCATENATE("- Local: ",INFO!$C$18)</f>
        <v>- Local: GUAIRA - PR</v>
      </c>
      <c r="C1623" s="121"/>
      <c r="D1623" s="121"/>
      <c r="E1623" s="121"/>
      <c r="F1623" s="121"/>
      <c r="G1623" s="121"/>
      <c r="H1623" s="121"/>
      <c r="I1623" s="121"/>
      <c r="J1623" s="121"/>
      <c r="K1623" s="121"/>
      <c r="L1623" s="121"/>
      <c r="M1623" s="121"/>
      <c r="N1623" s="121"/>
      <c r="O1623" s="121"/>
      <c r="P1623" s="121"/>
      <c r="Q1623" s="121"/>
      <c r="R1623" s="121"/>
      <c r="S1623" s="121"/>
      <c r="T1623" s="121"/>
      <c r="U1623" s="121"/>
      <c r="V1623" s="121"/>
      <c r="W1623" s="121"/>
      <c r="X1623" s="121"/>
      <c r="Y1623" s="121"/>
      <c r="Z1623" s="121"/>
      <c r="AA1623" s="121"/>
      <c r="AB1623" s="121"/>
    </row>
    <row r="1624" spans="2:29" ht="13.5" customHeight="1">
      <c r="B1624" s="98" t="str">
        <f>CONCATENATE("- Periodo: ",INFO!$C$10," a ",INFO!$C$19)</f>
        <v xml:space="preserve">- Periodo: 22/7/2025  a 23/8/2025 </v>
      </c>
      <c r="C1624" s="121"/>
      <c r="D1624" s="121"/>
      <c r="E1624" s="121"/>
      <c r="F1624" s="121"/>
      <c r="G1624" s="121"/>
      <c r="H1624" s="121"/>
      <c r="I1624" s="121"/>
      <c r="J1624" s="121"/>
      <c r="K1624" s="121"/>
      <c r="L1624" s="121"/>
      <c r="M1624" s="121"/>
      <c r="N1624" s="121"/>
      <c r="O1624" s="121"/>
      <c r="P1624" s="121"/>
      <c r="Q1624" s="121"/>
      <c r="R1624" s="121"/>
      <c r="S1624" s="121"/>
      <c r="T1624" s="121"/>
      <c r="U1624" s="121"/>
      <c r="V1624" s="121"/>
      <c r="W1624" s="121"/>
      <c r="X1624" s="121"/>
      <c r="Y1624" s="121"/>
      <c r="Z1624" s="121"/>
      <c r="AA1624" s="121"/>
      <c r="AB1624" s="121"/>
    </row>
    <row r="1625" spans="2:29" ht="13.5" customHeight="1">
      <c r="B1625" s="98" t="str">
        <f>CONCATENATE("- Nr Dias: ",INFO!$C$20)</f>
        <v>- Nr Dias: 33</v>
      </c>
      <c r="C1625" s="121"/>
      <c r="D1625" s="121"/>
      <c r="E1625" s="121"/>
      <c r="F1625" s="121"/>
      <c r="G1625" s="121"/>
      <c r="H1625" s="121"/>
      <c r="I1625" s="121"/>
      <c r="J1625" s="121"/>
      <c r="K1625" s="121"/>
      <c r="L1625" s="121"/>
      <c r="M1625" s="121"/>
      <c r="N1625" s="121"/>
      <c r="O1625" s="121"/>
      <c r="P1625" s="121"/>
      <c r="Q1625" s="121"/>
      <c r="R1625" s="121"/>
      <c r="S1625" s="121"/>
      <c r="T1625" s="121"/>
      <c r="U1625" s="121"/>
      <c r="V1625" s="121"/>
      <c r="W1625" s="121"/>
      <c r="X1625" s="121"/>
      <c r="Y1625" s="121"/>
      <c r="Z1625" s="121"/>
      <c r="AA1625" s="121"/>
      <c r="AB1625" s="121"/>
    </row>
    <row r="1626" spans="2:29" ht="13.5" customHeight="1">
      <c r="B1626" s="98" t="str">
        <f>CONCATENATE("- Valor Estimado: R$ ",INDEX(QSGR!$J$16:$J$11170,AC1619))</f>
        <v xml:space="preserve">- Valor Estimado: R$ </v>
      </c>
      <c r="C1626" s="121"/>
      <c r="D1626" s="121"/>
      <c r="E1626" s="121"/>
      <c r="F1626" s="121"/>
      <c r="G1626" s="121"/>
      <c r="H1626" s="121"/>
      <c r="I1626" s="121"/>
      <c r="J1626" s="121"/>
      <c r="K1626" s="121"/>
      <c r="L1626" s="121"/>
      <c r="M1626" s="121"/>
      <c r="N1626" s="121"/>
      <c r="O1626" s="121"/>
      <c r="P1626" s="121"/>
      <c r="Q1626" s="121"/>
      <c r="R1626" s="121"/>
      <c r="S1626" s="121"/>
      <c r="T1626" s="121"/>
      <c r="U1626" s="121"/>
      <c r="V1626" s="121"/>
      <c r="W1626" s="121"/>
      <c r="X1626" s="121"/>
      <c r="Y1626" s="121"/>
      <c r="Z1626" s="121"/>
      <c r="AA1626" s="121"/>
      <c r="AB1626" s="121"/>
    </row>
    <row r="1627" spans="2:29" ht="13.5" customHeight="1">
      <c r="B1627" s="100"/>
      <c r="C1627" s="121"/>
      <c r="D1627" s="121"/>
      <c r="E1627" s="121"/>
      <c r="F1627" s="121"/>
      <c r="G1627" s="121"/>
      <c r="H1627" s="121"/>
      <c r="I1627" s="121"/>
      <c r="J1627" s="121"/>
      <c r="K1627" s="121"/>
      <c r="L1627" s="121"/>
      <c r="M1627" s="121"/>
      <c r="N1627" s="121"/>
      <c r="O1627" s="121"/>
      <c r="P1627" s="121"/>
      <c r="Q1627" s="121"/>
      <c r="R1627" s="121"/>
      <c r="S1627" s="121"/>
      <c r="T1627" s="121"/>
      <c r="U1627" s="121"/>
      <c r="V1627" s="121"/>
      <c r="W1627" s="121"/>
      <c r="X1627" s="121"/>
      <c r="Y1627" s="121"/>
      <c r="Z1627" s="121"/>
      <c r="AA1627" s="121"/>
      <c r="AB1627" s="121"/>
    </row>
    <row r="1628" spans="2:29" ht="13.5" customHeight="1">
      <c r="B1628" s="98" t="s">
        <v>55</v>
      </c>
      <c r="C1628" s="121"/>
      <c r="D1628" s="121"/>
      <c r="E1628" s="121"/>
      <c r="F1628" s="121"/>
      <c r="G1628" s="121"/>
      <c r="H1628" s="121"/>
      <c r="I1628" s="121"/>
      <c r="J1628" s="121"/>
      <c r="K1628" s="121"/>
      <c r="L1628" s="121"/>
      <c r="M1628" s="121"/>
      <c r="N1628" s="121"/>
      <c r="O1628" s="121"/>
      <c r="P1628" s="121"/>
      <c r="Q1628" s="121"/>
      <c r="R1628" s="121"/>
      <c r="S1628" s="121"/>
      <c r="T1628" s="121"/>
      <c r="U1628" s="121"/>
      <c r="V1628" s="121"/>
      <c r="W1628" s="121"/>
      <c r="X1628" s="121"/>
      <c r="Y1628" s="121"/>
      <c r="Z1628" s="121"/>
      <c r="AA1628" s="121"/>
      <c r="AB1628" s="121"/>
      <c r="AC1628" s="37">
        <f>AC1619+1</f>
        <v>181</v>
      </c>
    </row>
    <row r="1629" spans="2:29" ht="13.5" customHeight="1">
      <c r="B1629" s="99">
        <f>INDEX(QSGR!$B$16:$B$1570,AC1628)</f>
        <v>0</v>
      </c>
      <c r="C1629" s="121"/>
      <c r="D1629" s="121"/>
      <c r="E1629" s="97">
        <f>INDEX(QSGR!$D$16:$D$11170,AC1628)</f>
        <v>0</v>
      </c>
      <c r="F1629" s="121"/>
      <c r="G1629" s="121"/>
      <c r="H1629" s="121"/>
      <c r="I1629" s="121"/>
      <c r="J1629" s="121"/>
      <c r="K1629" s="121"/>
      <c r="L1629" s="121"/>
      <c r="M1629" s="121"/>
      <c r="N1629" s="121"/>
      <c r="O1629" s="121"/>
      <c r="P1629" s="121"/>
      <c r="Q1629" s="121"/>
      <c r="R1629" s="121"/>
      <c r="S1629" s="121"/>
      <c r="T1629" s="121"/>
      <c r="U1629" s="121"/>
      <c r="V1629" s="121"/>
      <c r="W1629" s="121"/>
      <c r="X1629" s="121"/>
      <c r="Y1629" s="121"/>
      <c r="Z1629" s="121"/>
      <c r="AA1629" s="121"/>
      <c r="AB1629" s="121"/>
    </row>
    <row r="1630" spans="2:29" ht="13.5" customHeight="1">
      <c r="B1630" s="96" t="str">
        <f>CONCATENATE("- Evento: ",INFO!$B$22)</f>
        <v>- Evento: PARTICIPAR DA OPERAÇÃO HORUS.</v>
      </c>
      <c r="C1630" s="121"/>
      <c r="D1630" s="121"/>
      <c r="E1630" s="121"/>
      <c r="F1630" s="121"/>
      <c r="G1630" s="121"/>
      <c r="H1630" s="121"/>
      <c r="I1630" s="121"/>
      <c r="J1630" s="121"/>
      <c r="K1630" s="121"/>
      <c r="L1630" s="121"/>
      <c r="M1630" s="121"/>
      <c r="N1630" s="121"/>
      <c r="O1630" s="121"/>
      <c r="P1630" s="121"/>
      <c r="Q1630" s="121"/>
      <c r="R1630" s="121"/>
      <c r="S1630" s="121"/>
      <c r="T1630" s="121"/>
      <c r="U1630" s="121"/>
      <c r="V1630" s="121"/>
      <c r="W1630" s="121"/>
      <c r="X1630" s="121"/>
      <c r="Y1630" s="121"/>
      <c r="Z1630" s="121"/>
      <c r="AA1630" s="121"/>
      <c r="AB1630" s="121"/>
    </row>
    <row r="1631" spans="2:29" ht="13.5" customHeight="1">
      <c r="B1631" s="98" t="str">
        <f>CONCATENATE("- Documento de Solicitação: ",INFO!$B$24)</f>
        <v>- Documento de Solicitação: TESTE AZUL</v>
      </c>
      <c r="C1631" s="121"/>
      <c r="D1631" s="121"/>
      <c r="E1631" s="121"/>
      <c r="F1631" s="121"/>
      <c r="G1631" s="121"/>
      <c r="H1631" s="121"/>
      <c r="I1631" s="121"/>
      <c r="J1631" s="121"/>
      <c r="K1631" s="121"/>
      <c r="L1631" s="121"/>
      <c r="M1631" s="121"/>
      <c r="N1631" s="121"/>
      <c r="O1631" s="121"/>
      <c r="P1631" s="121"/>
      <c r="Q1631" s="121"/>
      <c r="R1631" s="121"/>
      <c r="S1631" s="121"/>
      <c r="T1631" s="121"/>
      <c r="U1631" s="121"/>
      <c r="V1631" s="121"/>
      <c r="W1631" s="121"/>
      <c r="X1631" s="121"/>
      <c r="Y1631" s="121"/>
      <c r="Z1631" s="121"/>
      <c r="AA1631" s="121"/>
      <c r="AB1631" s="121"/>
    </row>
    <row r="1632" spans="2:29" ht="13.5" customHeight="1">
      <c r="B1632" s="98" t="str">
        <f>CONCATENATE("- Local: ",INFO!$C$18)</f>
        <v>- Local: GUAIRA - PR</v>
      </c>
      <c r="C1632" s="121"/>
      <c r="D1632" s="121"/>
      <c r="E1632" s="121"/>
      <c r="F1632" s="121"/>
      <c r="G1632" s="121"/>
      <c r="H1632" s="121"/>
      <c r="I1632" s="121"/>
      <c r="J1632" s="121"/>
      <c r="K1632" s="121"/>
      <c r="L1632" s="121"/>
      <c r="M1632" s="121"/>
      <c r="N1632" s="121"/>
      <c r="O1632" s="121"/>
      <c r="P1632" s="121"/>
      <c r="Q1632" s="121"/>
      <c r="R1632" s="121"/>
      <c r="S1632" s="121"/>
      <c r="T1632" s="121"/>
      <c r="U1632" s="121"/>
      <c r="V1632" s="121"/>
      <c r="W1632" s="121"/>
      <c r="X1632" s="121"/>
      <c r="Y1632" s="121"/>
      <c r="Z1632" s="121"/>
      <c r="AA1632" s="121"/>
      <c r="AB1632" s="121"/>
    </row>
    <row r="1633" spans="2:29" ht="13.5" customHeight="1">
      <c r="B1633" s="98" t="str">
        <f>CONCATENATE("- Periodo: ",INFO!$C$10," a ",INFO!$C$19)</f>
        <v xml:space="preserve">- Periodo: 22/7/2025  a 23/8/2025 </v>
      </c>
      <c r="C1633" s="121"/>
      <c r="D1633" s="121"/>
      <c r="E1633" s="121"/>
      <c r="F1633" s="121"/>
      <c r="G1633" s="121"/>
      <c r="H1633" s="121"/>
      <c r="I1633" s="121"/>
      <c r="J1633" s="121"/>
      <c r="K1633" s="121"/>
      <c r="L1633" s="121"/>
      <c r="M1633" s="121"/>
      <c r="N1633" s="121"/>
      <c r="O1633" s="121"/>
      <c r="P1633" s="121"/>
      <c r="Q1633" s="121"/>
      <c r="R1633" s="121"/>
      <c r="S1633" s="121"/>
      <c r="T1633" s="121"/>
      <c r="U1633" s="121"/>
      <c r="V1633" s="121"/>
      <c r="W1633" s="121"/>
      <c r="X1633" s="121"/>
      <c r="Y1633" s="121"/>
      <c r="Z1633" s="121"/>
      <c r="AA1633" s="121"/>
      <c r="AB1633" s="121"/>
    </row>
    <row r="1634" spans="2:29" ht="13.5" customHeight="1">
      <c r="B1634" s="98" t="str">
        <f>CONCATENATE("- Nr Dias: ",INFO!$C$20)</f>
        <v>- Nr Dias: 33</v>
      </c>
      <c r="C1634" s="121"/>
      <c r="D1634" s="121"/>
      <c r="E1634" s="121"/>
      <c r="F1634" s="121"/>
      <c r="G1634" s="121"/>
      <c r="H1634" s="121"/>
      <c r="I1634" s="121"/>
      <c r="J1634" s="121"/>
      <c r="K1634" s="121"/>
      <c r="L1634" s="121"/>
      <c r="M1634" s="121"/>
      <c r="N1634" s="121"/>
      <c r="O1634" s="121"/>
      <c r="P1634" s="121"/>
      <c r="Q1634" s="121"/>
      <c r="R1634" s="121"/>
      <c r="S1634" s="121"/>
      <c r="T1634" s="121"/>
      <c r="U1634" s="121"/>
      <c r="V1634" s="121"/>
      <c r="W1634" s="121"/>
      <c r="X1634" s="121"/>
      <c r="Y1634" s="121"/>
      <c r="Z1634" s="121"/>
      <c r="AA1634" s="121"/>
      <c r="AB1634" s="121"/>
    </row>
    <row r="1635" spans="2:29" ht="13.5" customHeight="1">
      <c r="B1635" s="98" t="str">
        <f>CONCATENATE("- Valor Estimado: R$ ",INDEX(QSGR!$J$16:$J$11170,AC1628))</f>
        <v xml:space="preserve">- Valor Estimado: R$ </v>
      </c>
      <c r="C1635" s="121"/>
      <c r="D1635" s="121"/>
      <c r="E1635" s="121"/>
      <c r="F1635" s="121"/>
      <c r="G1635" s="121"/>
      <c r="H1635" s="121"/>
      <c r="I1635" s="121"/>
      <c r="J1635" s="121"/>
      <c r="K1635" s="121"/>
      <c r="L1635" s="121"/>
      <c r="M1635" s="121"/>
      <c r="N1635" s="121"/>
      <c r="O1635" s="121"/>
      <c r="P1635" s="121"/>
      <c r="Q1635" s="121"/>
      <c r="R1635" s="121"/>
      <c r="S1635" s="121"/>
      <c r="T1635" s="121"/>
      <c r="U1635" s="121"/>
      <c r="V1635" s="121"/>
      <c r="W1635" s="121"/>
      <c r="X1635" s="121"/>
      <c r="Y1635" s="121"/>
      <c r="Z1635" s="121"/>
      <c r="AA1635" s="121"/>
      <c r="AB1635" s="121"/>
    </row>
    <row r="1636" spans="2:29" ht="13.5" customHeight="1">
      <c r="B1636" s="100"/>
      <c r="C1636" s="121"/>
      <c r="D1636" s="121"/>
      <c r="E1636" s="121"/>
      <c r="F1636" s="121"/>
      <c r="G1636" s="121"/>
      <c r="H1636" s="121"/>
      <c r="I1636" s="121"/>
      <c r="J1636" s="121"/>
      <c r="K1636" s="121"/>
      <c r="L1636" s="121"/>
      <c r="M1636" s="121"/>
      <c r="N1636" s="121"/>
      <c r="O1636" s="121"/>
      <c r="P1636" s="121"/>
      <c r="Q1636" s="121"/>
      <c r="R1636" s="121"/>
      <c r="S1636" s="121"/>
      <c r="T1636" s="121"/>
      <c r="U1636" s="121"/>
      <c r="V1636" s="121"/>
      <c r="W1636" s="121"/>
      <c r="X1636" s="121"/>
      <c r="Y1636" s="121"/>
      <c r="Z1636" s="121"/>
      <c r="AA1636" s="121"/>
      <c r="AB1636" s="121"/>
    </row>
    <row r="1637" spans="2:29" ht="13.5" customHeight="1">
      <c r="B1637" s="98" t="s">
        <v>55</v>
      </c>
      <c r="C1637" s="121"/>
      <c r="D1637" s="121"/>
      <c r="E1637" s="121"/>
      <c r="F1637" s="121"/>
      <c r="G1637" s="121"/>
      <c r="H1637" s="121"/>
      <c r="I1637" s="121"/>
      <c r="J1637" s="121"/>
      <c r="K1637" s="121"/>
      <c r="L1637" s="121"/>
      <c r="M1637" s="121"/>
      <c r="N1637" s="121"/>
      <c r="O1637" s="121"/>
      <c r="P1637" s="121"/>
      <c r="Q1637" s="121"/>
      <c r="R1637" s="121"/>
      <c r="S1637" s="121"/>
      <c r="T1637" s="121"/>
      <c r="U1637" s="121"/>
      <c r="V1637" s="121"/>
      <c r="W1637" s="121"/>
      <c r="X1637" s="121"/>
      <c r="Y1637" s="121"/>
      <c r="Z1637" s="121"/>
      <c r="AA1637" s="121"/>
      <c r="AB1637" s="121"/>
      <c r="AC1637" s="37">
        <f>AC1628+1</f>
        <v>182</v>
      </c>
    </row>
    <row r="1638" spans="2:29" ht="13.5" customHeight="1">
      <c r="B1638" s="99">
        <f>INDEX(QSGR!$B$16:$B$1570,AC1637)</f>
        <v>0</v>
      </c>
      <c r="C1638" s="121"/>
      <c r="D1638" s="121"/>
      <c r="E1638" s="97">
        <f>INDEX(QSGR!$D$16:$D$11170,AC1637)</f>
        <v>0</v>
      </c>
      <c r="F1638" s="121"/>
      <c r="G1638" s="121"/>
      <c r="H1638" s="121"/>
      <c r="I1638" s="121"/>
      <c r="J1638" s="121"/>
      <c r="K1638" s="121"/>
      <c r="L1638" s="121"/>
      <c r="M1638" s="121"/>
      <c r="N1638" s="121"/>
      <c r="O1638" s="121"/>
      <c r="P1638" s="121"/>
      <c r="Q1638" s="121"/>
      <c r="R1638" s="121"/>
      <c r="S1638" s="121"/>
      <c r="T1638" s="121"/>
      <c r="U1638" s="121"/>
      <c r="V1638" s="121"/>
      <c r="W1638" s="121"/>
      <c r="X1638" s="121"/>
      <c r="Y1638" s="121"/>
      <c r="Z1638" s="121"/>
      <c r="AA1638" s="121"/>
      <c r="AB1638" s="121"/>
    </row>
    <row r="1639" spans="2:29" ht="13.5" customHeight="1">
      <c r="B1639" s="96" t="str">
        <f>CONCATENATE("- Evento: ",INFO!$B$22)</f>
        <v>- Evento: PARTICIPAR DA OPERAÇÃO HORUS.</v>
      </c>
      <c r="C1639" s="121"/>
      <c r="D1639" s="121"/>
      <c r="E1639" s="121"/>
      <c r="F1639" s="121"/>
      <c r="G1639" s="121"/>
      <c r="H1639" s="121"/>
      <c r="I1639" s="121"/>
      <c r="J1639" s="121"/>
      <c r="K1639" s="121"/>
      <c r="L1639" s="121"/>
      <c r="M1639" s="121"/>
      <c r="N1639" s="121"/>
      <c r="O1639" s="121"/>
      <c r="P1639" s="121"/>
      <c r="Q1639" s="121"/>
      <c r="R1639" s="121"/>
      <c r="S1639" s="121"/>
      <c r="T1639" s="121"/>
      <c r="U1639" s="121"/>
      <c r="V1639" s="121"/>
      <c r="W1639" s="121"/>
      <c r="X1639" s="121"/>
      <c r="Y1639" s="121"/>
      <c r="Z1639" s="121"/>
      <c r="AA1639" s="121"/>
      <c r="AB1639" s="121"/>
    </row>
    <row r="1640" spans="2:29" ht="13.5" customHeight="1">
      <c r="B1640" s="98" t="str">
        <f>CONCATENATE("- Documento de Solicitação: ",INFO!$B$24)</f>
        <v>- Documento de Solicitação: TESTE AZUL</v>
      </c>
      <c r="C1640" s="121"/>
      <c r="D1640" s="121"/>
      <c r="E1640" s="121"/>
      <c r="F1640" s="121"/>
      <c r="G1640" s="121"/>
      <c r="H1640" s="121"/>
      <c r="I1640" s="121"/>
      <c r="J1640" s="121"/>
      <c r="K1640" s="121"/>
      <c r="L1640" s="121"/>
      <c r="M1640" s="121"/>
      <c r="N1640" s="121"/>
      <c r="O1640" s="121"/>
      <c r="P1640" s="121"/>
      <c r="Q1640" s="121"/>
      <c r="R1640" s="121"/>
      <c r="S1640" s="121"/>
      <c r="T1640" s="121"/>
      <c r="U1640" s="121"/>
      <c r="V1640" s="121"/>
      <c r="W1640" s="121"/>
      <c r="X1640" s="121"/>
      <c r="Y1640" s="121"/>
      <c r="Z1640" s="121"/>
      <c r="AA1640" s="121"/>
      <c r="AB1640" s="121"/>
    </row>
    <row r="1641" spans="2:29" ht="13.5" customHeight="1">
      <c r="B1641" s="98" t="str">
        <f>CONCATENATE("- Local: ",INFO!$C$18)</f>
        <v>- Local: GUAIRA - PR</v>
      </c>
      <c r="C1641" s="121"/>
      <c r="D1641" s="121"/>
      <c r="E1641" s="121"/>
      <c r="F1641" s="121"/>
      <c r="G1641" s="121"/>
      <c r="H1641" s="121"/>
      <c r="I1641" s="121"/>
      <c r="J1641" s="121"/>
      <c r="K1641" s="121"/>
      <c r="L1641" s="121"/>
      <c r="M1641" s="121"/>
      <c r="N1641" s="121"/>
      <c r="O1641" s="121"/>
      <c r="P1641" s="121"/>
      <c r="Q1641" s="121"/>
      <c r="R1641" s="121"/>
      <c r="S1641" s="121"/>
      <c r="T1641" s="121"/>
      <c r="U1641" s="121"/>
      <c r="V1641" s="121"/>
      <c r="W1641" s="121"/>
      <c r="X1641" s="121"/>
      <c r="Y1641" s="121"/>
      <c r="Z1641" s="121"/>
      <c r="AA1641" s="121"/>
      <c r="AB1641" s="121"/>
    </row>
    <row r="1642" spans="2:29" ht="13.5" customHeight="1">
      <c r="B1642" s="98" t="str">
        <f>CONCATENATE("- Periodo: ",INFO!$C$10," a ",INFO!$C$19)</f>
        <v xml:space="preserve">- Periodo: 22/7/2025  a 23/8/2025 </v>
      </c>
      <c r="C1642" s="121"/>
      <c r="D1642" s="121"/>
      <c r="E1642" s="121"/>
      <c r="F1642" s="121"/>
      <c r="G1642" s="121"/>
      <c r="H1642" s="121"/>
      <c r="I1642" s="121"/>
      <c r="J1642" s="121"/>
      <c r="K1642" s="121"/>
      <c r="L1642" s="121"/>
      <c r="M1642" s="121"/>
      <c r="N1642" s="121"/>
      <c r="O1642" s="121"/>
      <c r="P1642" s="121"/>
      <c r="Q1642" s="121"/>
      <c r="R1642" s="121"/>
      <c r="S1642" s="121"/>
      <c r="T1642" s="121"/>
      <c r="U1642" s="121"/>
      <c r="V1642" s="121"/>
      <c r="W1642" s="121"/>
      <c r="X1642" s="121"/>
      <c r="Y1642" s="121"/>
      <c r="Z1642" s="121"/>
      <c r="AA1642" s="121"/>
      <c r="AB1642" s="121"/>
    </row>
    <row r="1643" spans="2:29" ht="13.5" customHeight="1">
      <c r="B1643" s="98" t="str">
        <f>CONCATENATE("- Nr Dias: ",INFO!$C$20)</f>
        <v>- Nr Dias: 33</v>
      </c>
      <c r="C1643" s="121"/>
      <c r="D1643" s="121"/>
      <c r="E1643" s="121"/>
      <c r="F1643" s="121"/>
      <c r="G1643" s="121"/>
      <c r="H1643" s="121"/>
      <c r="I1643" s="121"/>
      <c r="J1643" s="121"/>
      <c r="K1643" s="121"/>
      <c r="L1643" s="121"/>
      <c r="M1643" s="121"/>
      <c r="N1643" s="121"/>
      <c r="O1643" s="121"/>
      <c r="P1643" s="121"/>
      <c r="Q1643" s="121"/>
      <c r="R1643" s="121"/>
      <c r="S1643" s="121"/>
      <c r="T1643" s="121"/>
      <c r="U1643" s="121"/>
      <c r="V1643" s="121"/>
      <c r="W1643" s="121"/>
      <c r="X1643" s="121"/>
      <c r="Y1643" s="121"/>
      <c r="Z1643" s="121"/>
      <c r="AA1643" s="121"/>
      <c r="AB1643" s="121"/>
    </row>
    <row r="1644" spans="2:29" ht="13.5" customHeight="1">
      <c r="B1644" s="98" t="str">
        <f>CONCATENATE("- Valor Estimado: R$ ",INDEX(QSGR!$J$16:$J$11170,AC1637))</f>
        <v xml:space="preserve">- Valor Estimado: R$ </v>
      </c>
      <c r="C1644" s="121"/>
      <c r="D1644" s="121"/>
      <c r="E1644" s="121"/>
      <c r="F1644" s="121"/>
      <c r="G1644" s="121"/>
      <c r="H1644" s="121"/>
      <c r="I1644" s="121"/>
      <c r="J1644" s="121"/>
      <c r="K1644" s="121"/>
      <c r="L1644" s="121"/>
      <c r="M1644" s="121"/>
      <c r="N1644" s="121"/>
      <c r="O1644" s="121"/>
      <c r="P1644" s="121"/>
      <c r="Q1644" s="121"/>
      <c r="R1644" s="121"/>
      <c r="S1644" s="121"/>
      <c r="T1644" s="121"/>
      <c r="U1644" s="121"/>
      <c r="V1644" s="121"/>
      <c r="W1644" s="121"/>
      <c r="X1644" s="121"/>
      <c r="Y1644" s="121"/>
      <c r="Z1644" s="121"/>
      <c r="AA1644" s="121"/>
      <c r="AB1644" s="121"/>
    </row>
    <row r="1645" spans="2:29" ht="13.5" customHeight="1">
      <c r="B1645" s="100"/>
      <c r="C1645" s="121"/>
      <c r="D1645" s="121"/>
      <c r="E1645" s="121"/>
      <c r="F1645" s="121"/>
      <c r="G1645" s="121"/>
      <c r="H1645" s="121"/>
      <c r="I1645" s="121"/>
      <c r="J1645" s="121"/>
      <c r="K1645" s="121"/>
      <c r="L1645" s="121"/>
      <c r="M1645" s="121"/>
      <c r="N1645" s="121"/>
      <c r="O1645" s="121"/>
      <c r="P1645" s="121"/>
      <c r="Q1645" s="121"/>
      <c r="R1645" s="121"/>
      <c r="S1645" s="121"/>
      <c r="T1645" s="121"/>
      <c r="U1645" s="121"/>
      <c r="V1645" s="121"/>
      <c r="W1645" s="121"/>
      <c r="X1645" s="121"/>
      <c r="Y1645" s="121"/>
      <c r="Z1645" s="121"/>
      <c r="AA1645" s="121"/>
      <c r="AB1645" s="121"/>
    </row>
    <row r="1646" spans="2:29" ht="13.5" customHeight="1">
      <c r="B1646" s="98" t="s">
        <v>55</v>
      </c>
      <c r="C1646" s="121"/>
      <c r="D1646" s="121"/>
      <c r="E1646" s="121"/>
      <c r="F1646" s="121"/>
      <c r="G1646" s="121"/>
      <c r="H1646" s="121"/>
      <c r="I1646" s="121"/>
      <c r="J1646" s="121"/>
      <c r="K1646" s="121"/>
      <c r="L1646" s="121"/>
      <c r="M1646" s="121"/>
      <c r="N1646" s="121"/>
      <c r="O1646" s="121"/>
      <c r="P1646" s="121"/>
      <c r="Q1646" s="121"/>
      <c r="R1646" s="121"/>
      <c r="S1646" s="121"/>
      <c r="T1646" s="121"/>
      <c r="U1646" s="121"/>
      <c r="V1646" s="121"/>
      <c r="W1646" s="121"/>
      <c r="X1646" s="121"/>
      <c r="Y1646" s="121"/>
      <c r="Z1646" s="121"/>
      <c r="AA1646" s="121"/>
      <c r="AB1646" s="121"/>
      <c r="AC1646" s="37">
        <f>AC1637+1</f>
        <v>183</v>
      </c>
    </row>
    <row r="1647" spans="2:29" ht="13.5" customHeight="1">
      <c r="B1647" s="99">
        <f>INDEX(QSGR!$B$16:$B$1570,AC1646)</f>
        <v>0</v>
      </c>
      <c r="C1647" s="121"/>
      <c r="D1647" s="121"/>
      <c r="E1647" s="97">
        <f>INDEX(QSGR!$D$16:$D$11170,AC1646)</f>
        <v>0</v>
      </c>
      <c r="F1647" s="121"/>
      <c r="G1647" s="121"/>
      <c r="H1647" s="121"/>
      <c r="I1647" s="121"/>
      <c r="J1647" s="121"/>
      <c r="K1647" s="121"/>
      <c r="L1647" s="121"/>
      <c r="M1647" s="121"/>
      <c r="N1647" s="121"/>
      <c r="O1647" s="121"/>
      <c r="P1647" s="121"/>
      <c r="Q1647" s="121"/>
      <c r="R1647" s="121"/>
      <c r="S1647" s="121"/>
      <c r="T1647" s="121"/>
      <c r="U1647" s="121"/>
      <c r="V1647" s="121"/>
      <c r="W1647" s="121"/>
      <c r="X1647" s="121"/>
      <c r="Y1647" s="121"/>
      <c r="Z1647" s="121"/>
      <c r="AA1647" s="121"/>
      <c r="AB1647" s="121"/>
    </row>
    <row r="1648" spans="2:29" ht="13.5" customHeight="1">
      <c r="B1648" s="96" t="str">
        <f>CONCATENATE("- Evento: ",INFO!$B$22)</f>
        <v>- Evento: PARTICIPAR DA OPERAÇÃO HORUS.</v>
      </c>
      <c r="C1648" s="121"/>
      <c r="D1648" s="121"/>
      <c r="E1648" s="121"/>
      <c r="F1648" s="121"/>
      <c r="G1648" s="121"/>
      <c r="H1648" s="121"/>
      <c r="I1648" s="121"/>
      <c r="J1648" s="121"/>
      <c r="K1648" s="121"/>
      <c r="L1648" s="121"/>
      <c r="M1648" s="121"/>
      <c r="N1648" s="121"/>
      <c r="O1648" s="121"/>
      <c r="P1648" s="121"/>
      <c r="Q1648" s="121"/>
      <c r="R1648" s="121"/>
      <c r="S1648" s="121"/>
      <c r="T1648" s="121"/>
      <c r="U1648" s="121"/>
      <c r="V1648" s="121"/>
      <c r="W1648" s="121"/>
      <c r="X1648" s="121"/>
      <c r="Y1648" s="121"/>
      <c r="Z1648" s="121"/>
      <c r="AA1648" s="121"/>
      <c r="AB1648" s="121"/>
    </row>
    <row r="1649" spans="2:29" ht="13.5" customHeight="1">
      <c r="B1649" s="98" t="str">
        <f>CONCATENATE("- Documento de Solicitação: ",INFO!$B$24)</f>
        <v>- Documento de Solicitação: TESTE AZUL</v>
      </c>
      <c r="C1649" s="121"/>
      <c r="D1649" s="121"/>
      <c r="E1649" s="121"/>
      <c r="F1649" s="121"/>
      <c r="G1649" s="121"/>
      <c r="H1649" s="121"/>
      <c r="I1649" s="121"/>
      <c r="J1649" s="121"/>
      <c r="K1649" s="121"/>
      <c r="L1649" s="121"/>
      <c r="M1649" s="121"/>
      <c r="N1649" s="121"/>
      <c r="O1649" s="121"/>
      <c r="P1649" s="121"/>
      <c r="Q1649" s="121"/>
      <c r="R1649" s="121"/>
      <c r="S1649" s="121"/>
      <c r="T1649" s="121"/>
      <c r="U1649" s="121"/>
      <c r="V1649" s="121"/>
      <c r="W1649" s="121"/>
      <c r="X1649" s="121"/>
      <c r="Y1649" s="121"/>
      <c r="Z1649" s="121"/>
      <c r="AA1649" s="121"/>
      <c r="AB1649" s="121"/>
    </row>
    <row r="1650" spans="2:29" ht="13.5" customHeight="1">
      <c r="B1650" s="98" t="str">
        <f>CONCATENATE("- Local: ",INFO!$C$18)</f>
        <v>- Local: GUAIRA - PR</v>
      </c>
      <c r="C1650" s="121"/>
      <c r="D1650" s="121"/>
      <c r="E1650" s="121"/>
      <c r="F1650" s="121"/>
      <c r="G1650" s="121"/>
      <c r="H1650" s="121"/>
      <c r="I1650" s="121"/>
      <c r="J1650" s="121"/>
      <c r="K1650" s="121"/>
      <c r="L1650" s="121"/>
      <c r="M1650" s="121"/>
      <c r="N1650" s="121"/>
      <c r="O1650" s="121"/>
      <c r="P1650" s="121"/>
      <c r="Q1650" s="121"/>
      <c r="R1650" s="121"/>
      <c r="S1650" s="121"/>
      <c r="T1650" s="121"/>
      <c r="U1650" s="121"/>
      <c r="V1650" s="121"/>
      <c r="W1650" s="121"/>
      <c r="X1650" s="121"/>
      <c r="Y1650" s="121"/>
      <c r="Z1650" s="121"/>
      <c r="AA1650" s="121"/>
      <c r="AB1650" s="121"/>
    </row>
    <row r="1651" spans="2:29" ht="13.5" customHeight="1">
      <c r="B1651" s="98" t="str">
        <f>CONCATENATE("- Periodo: ",INFO!$C$10," a ",INFO!$C$19)</f>
        <v xml:space="preserve">- Periodo: 22/7/2025  a 23/8/2025 </v>
      </c>
      <c r="C1651" s="121"/>
      <c r="D1651" s="121"/>
      <c r="E1651" s="121"/>
      <c r="F1651" s="121"/>
      <c r="G1651" s="121"/>
      <c r="H1651" s="121"/>
      <c r="I1651" s="121"/>
      <c r="J1651" s="121"/>
      <c r="K1651" s="121"/>
      <c r="L1651" s="121"/>
      <c r="M1651" s="121"/>
      <c r="N1651" s="121"/>
      <c r="O1651" s="121"/>
      <c r="P1651" s="121"/>
      <c r="Q1651" s="121"/>
      <c r="R1651" s="121"/>
      <c r="S1651" s="121"/>
      <c r="T1651" s="121"/>
      <c r="U1651" s="121"/>
      <c r="V1651" s="121"/>
      <c r="W1651" s="121"/>
      <c r="X1651" s="121"/>
      <c r="Y1651" s="121"/>
      <c r="Z1651" s="121"/>
      <c r="AA1651" s="121"/>
      <c r="AB1651" s="121"/>
    </row>
    <row r="1652" spans="2:29" ht="13.5" customHeight="1">
      <c r="B1652" s="98" t="str">
        <f>CONCATENATE("- Nr Dias: ",INFO!$C$20)</f>
        <v>- Nr Dias: 33</v>
      </c>
      <c r="C1652" s="121"/>
      <c r="D1652" s="121"/>
      <c r="E1652" s="121"/>
      <c r="F1652" s="121"/>
      <c r="G1652" s="121"/>
      <c r="H1652" s="121"/>
      <c r="I1652" s="121"/>
      <c r="J1652" s="121"/>
      <c r="K1652" s="121"/>
      <c r="L1652" s="121"/>
      <c r="M1652" s="121"/>
      <c r="N1652" s="121"/>
      <c r="O1652" s="121"/>
      <c r="P1652" s="121"/>
      <c r="Q1652" s="121"/>
      <c r="R1652" s="121"/>
      <c r="S1652" s="121"/>
      <c r="T1652" s="121"/>
      <c r="U1652" s="121"/>
      <c r="V1652" s="121"/>
      <c r="W1652" s="121"/>
      <c r="X1652" s="121"/>
      <c r="Y1652" s="121"/>
      <c r="Z1652" s="121"/>
      <c r="AA1652" s="121"/>
      <c r="AB1652" s="121"/>
    </row>
    <row r="1653" spans="2:29" ht="13.5" customHeight="1">
      <c r="B1653" s="98" t="str">
        <f>CONCATENATE("- Valor Estimado: R$ ",INDEX(QSGR!$J$16:$J$11170,AC1646))</f>
        <v xml:space="preserve">- Valor Estimado: R$ </v>
      </c>
      <c r="C1653" s="121"/>
      <c r="D1653" s="121"/>
      <c r="E1653" s="121"/>
      <c r="F1653" s="121"/>
      <c r="G1653" s="121"/>
      <c r="H1653" s="121"/>
      <c r="I1653" s="121"/>
      <c r="J1653" s="121"/>
      <c r="K1653" s="121"/>
      <c r="L1653" s="121"/>
      <c r="M1653" s="121"/>
      <c r="N1653" s="121"/>
      <c r="O1653" s="121"/>
      <c r="P1653" s="121"/>
      <c r="Q1653" s="121"/>
      <c r="R1653" s="121"/>
      <c r="S1653" s="121"/>
      <c r="T1653" s="121"/>
      <c r="U1653" s="121"/>
      <c r="V1653" s="121"/>
      <c r="W1653" s="121"/>
      <c r="X1653" s="121"/>
      <c r="Y1653" s="121"/>
      <c r="Z1653" s="121"/>
      <c r="AA1653" s="121"/>
      <c r="AB1653" s="121"/>
    </row>
    <row r="1654" spans="2:29" ht="13.5" customHeight="1">
      <c r="B1654" s="100"/>
      <c r="C1654" s="121"/>
      <c r="D1654" s="121"/>
      <c r="E1654" s="121"/>
      <c r="F1654" s="121"/>
      <c r="G1654" s="121"/>
      <c r="H1654" s="121"/>
      <c r="I1654" s="121"/>
      <c r="J1654" s="121"/>
      <c r="K1654" s="121"/>
      <c r="L1654" s="121"/>
      <c r="M1654" s="121"/>
      <c r="N1654" s="121"/>
      <c r="O1654" s="121"/>
      <c r="P1654" s="121"/>
      <c r="Q1654" s="121"/>
      <c r="R1654" s="121"/>
      <c r="S1654" s="121"/>
      <c r="T1654" s="121"/>
      <c r="U1654" s="121"/>
      <c r="V1654" s="121"/>
      <c r="W1654" s="121"/>
      <c r="X1654" s="121"/>
      <c r="Y1654" s="121"/>
      <c r="Z1654" s="121"/>
      <c r="AA1654" s="121"/>
      <c r="AB1654" s="121"/>
    </row>
    <row r="1655" spans="2:29" ht="13.5" customHeight="1">
      <c r="B1655" s="98" t="s">
        <v>55</v>
      </c>
      <c r="C1655" s="121"/>
      <c r="D1655" s="121"/>
      <c r="E1655" s="121"/>
      <c r="F1655" s="121"/>
      <c r="G1655" s="121"/>
      <c r="H1655" s="121"/>
      <c r="I1655" s="121"/>
      <c r="J1655" s="121"/>
      <c r="K1655" s="121"/>
      <c r="L1655" s="121"/>
      <c r="M1655" s="121"/>
      <c r="N1655" s="121"/>
      <c r="O1655" s="121"/>
      <c r="P1655" s="121"/>
      <c r="Q1655" s="121"/>
      <c r="R1655" s="121"/>
      <c r="S1655" s="121"/>
      <c r="T1655" s="121"/>
      <c r="U1655" s="121"/>
      <c r="V1655" s="121"/>
      <c r="W1655" s="121"/>
      <c r="X1655" s="121"/>
      <c r="Y1655" s="121"/>
      <c r="Z1655" s="121"/>
      <c r="AA1655" s="121"/>
      <c r="AB1655" s="121"/>
      <c r="AC1655" s="37">
        <f>AC1646+1</f>
        <v>184</v>
      </c>
    </row>
    <row r="1656" spans="2:29" ht="13.5" customHeight="1">
      <c r="B1656" s="99">
        <f>INDEX(QSGR!$B$16:$B$1570,AC1655)</f>
        <v>0</v>
      </c>
      <c r="C1656" s="121"/>
      <c r="D1656" s="121"/>
      <c r="E1656" s="97">
        <f>INDEX(QSGR!$D$16:$D$11170,AC1655)</f>
        <v>0</v>
      </c>
      <c r="F1656" s="121"/>
      <c r="G1656" s="121"/>
      <c r="H1656" s="121"/>
      <c r="I1656" s="121"/>
      <c r="J1656" s="121"/>
      <c r="K1656" s="121"/>
      <c r="L1656" s="121"/>
      <c r="M1656" s="121"/>
      <c r="N1656" s="121"/>
      <c r="O1656" s="121"/>
      <c r="P1656" s="121"/>
      <c r="Q1656" s="121"/>
      <c r="R1656" s="121"/>
      <c r="S1656" s="121"/>
      <c r="T1656" s="121"/>
      <c r="U1656" s="121"/>
      <c r="V1656" s="121"/>
      <c r="W1656" s="121"/>
      <c r="X1656" s="121"/>
      <c r="Y1656" s="121"/>
      <c r="Z1656" s="121"/>
      <c r="AA1656" s="121"/>
      <c r="AB1656" s="121"/>
    </row>
    <row r="1657" spans="2:29" ht="13.5" customHeight="1">
      <c r="B1657" s="96" t="str">
        <f>CONCATENATE("- Evento: ",INFO!$B$22)</f>
        <v>- Evento: PARTICIPAR DA OPERAÇÃO HORUS.</v>
      </c>
      <c r="C1657" s="121"/>
      <c r="D1657" s="121"/>
      <c r="E1657" s="121"/>
      <c r="F1657" s="121"/>
      <c r="G1657" s="121"/>
      <c r="H1657" s="121"/>
      <c r="I1657" s="121"/>
      <c r="J1657" s="121"/>
      <c r="K1657" s="121"/>
      <c r="L1657" s="121"/>
      <c r="M1657" s="121"/>
      <c r="N1657" s="121"/>
      <c r="O1657" s="121"/>
      <c r="P1657" s="121"/>
      <c r="Q1657" s="121"/>
      <c r="R1657" s="121"/>
      <c r="S1657" s="121"/>
      <c r="T1657" s="121"/>
      <c r="U1657" s="121"/>
      <c r="V1657" s="121"/>
      <c r="W1657" s="121"/>
      <c r="X1657" s="121"/>
      <c r="Y1657" s="121"/>
      <c r="Z1657" s="121"/>
      <c r="AA1657" s="121"/>
      <c r="AB1657" s="121"/>
    </row>
    <row r="1658" spans="2:29" ht="13.5" customHeight="1">
      <c r="B1658" s="98" t="str">
        <f>CONCATENATE("- Documento de Solicitação: ",INFO!$B$24)</f>
        <v>- Documento de Solicitação: TESTE AZUL</v>
      </c>
      <c r="C1658" s="121"/>
      <c r="D1658" s="121"/>
      <c r="E1658" s="121"/>
      <c r="F1658" s="121"/>
      <c r="G1658" s="121"/>
      <c r="H1658" s="121"/>
      <c r="I1658" s="121"/>
      <c r="J1658" s="121"/>
      <c r="K1658" s="121"/>
      <c r="L1658" s="121"/>
      <c r="M1658" s="121"/>
      <c r="N1658" s="121"/>
      <c r="O1658" s="121"/>
      <c r="P1658" s="121"/>
      <c r="Q1658" s="121"/>
      <c r="R1658" s="121"/>
      <c r="S1658" s="121"/>
      <c r="T1658" s="121"/>
      <c r="U1658" s="121"/>
      <c r="V1658" s="121"/>
      <c r="W1658" s="121"/>
      <c r="X1658" s="121"/>
      <c r="Y1658" s="121"/>
      <c r="Z1658" s="121"/>
      <c r="AA1658" s="121"/>
      <c r="AB1658" s="121"/>
    </row>
    <row r="1659" spans="2:29" ht="13.5" customHeight="1">
      <c r="B1659" s="98" t="str">
        <f>CONCATENATE("- Local: ",INFO!$C$18)</f>
        <v>- Local: GUAIRA - PR</v>
      </c>
      <c r="C1659" s="121"/>
      <c r="D1659" s="121"/>
      <c r="E1659" s="121"/>
      <c r="F1659" s="121"/>
      <c r="G1659" s="121"/>
      <c r="H1659" s="121"/>
      <c r="I1659" s="121"/>
      <c r="J1659" s="121"/>
      <c r="K1659" s="121"/>
      <c r="L1659" s="121"/>
      <c r="M1659" s="121"/>
      <c r="N1659" s="121"/>
      <c r="O1659" s="121"/>
      <c r="P1659" s="121"/>
      <c r="Q1659" s="121"/>
      <c r="R1659" s="121"/>
      <c r="S1659" s="121"/>
      <c r="T1659" s="121"/>
      <c r="U1659" s="121"/>
      <c r="V1659" s="121"/>
      <c r="W1659" s="121"/>
      <c r="X1659" s="121"/>
      <c r="Y1659" s="121"/>
      <c r="Z1659" s="121"/>
      <c r="AA1659" s="121"/>
      <c r="AB1659" s="121"/>
    </row>
    <row r="1660" spans="2:29" ht="13.5" customHeight="1">
      <c r="B1660" s="98" t="str">
        <f>CONCATENATE("- Periodo: ",INFO!$C$10," a ",INFO!$C$19)</f>
        <v xml:space="preserve">- Periodo: 22/7/2025  a 23/8/2025 </v>
      </c>
      <c r="C1660" s="121"/>
      <c r="D1660" s="121"/>
      <c r="E1660" s="121"/>
      <c r="F1660" s="121"/>
      <c r="G1660" s="121"/>
      <c r="H1660" s="121"/>
      <c r="I1660" s="121"/>
      <c r="J1660" s="121"/>
      <c r="K1660" s="121"/>
      <c r="L1660" s="121"/>
      <c r="M1660" s="121"/>
      <c r="N1660" s="121"/>
      <c r="O1660" s="121"/>
      <c r="P1660" s="121"/>
      <c r="Q1660" s="121"/>
      <c r="R1660" s="121"/>
      <c r="S1660" s="121"/>
      <c r="T1660" s="121"/>
      <c r="U1660" s="121"/>
      <c r="V1660" s="121"/>
      <c r="W1660" s="121"/>
      <c r="X1660" s="121"/>
      <c r="Y1660" s="121"/>
      <c r="Z1660" s="121"/>
      <c r="AA1660" s="121"/>
      <c r="AB1660" s="121"/>
    </row>
    <row r="1661" spans="2:29" ht="13.5" customHeight="1">
      <c r="B1661" s="98" t="str">
        <f>CONCATENATE("- Nr Dias: ",INFO!$C$20)</f>
        <v>- Nr Dias: 33</v>
      </c>
      <c r="C1661" s="121"/>
      <c r="D1661" s="121"/>
      <c r="E1661" s="121"/>
      <c r="F1661" s="121"/>
      <c r="G1661" s="121"/>
      <c r="H1661" s="121"/>
      <c r="I1661" s="121"/>
      <c r="J1661" s="121"/>
      <c r="K1661" s="121"/>
      <c r="L1661" s="121"/>
      <c r="M1661" s="121"/>
      <c r="N1661" s="121"/>
      <c r="O1661" s="121"/>
      <c r="P1661" s="121"/>
      <c r="Q1661" s="121"/>
      <c r="R1661" s="121"/>
      <c r="S1661" s="121"/>
      <c r="T1661" s="121"/>
      <c r="U1661" s="121"/>
      <c r="V1661" s="121"/>
      <c r="W1661" s="121"/>
      <c r="X1661" s="121"/>
      <c r="Y1661" s="121"/>
      <c r="Z1661" s="121"/>
      <c r="AA1661" s="121"/>
      <c r="AB1661" s="121"/>
    </row>
    <row r="1662" spans="2:29" ht="13.5" customHeight="1">
      <c r="B1662" s="98" t="str">
        <f>CONCATENATE("- Valor Estimado: R$ ",INDEX(QSGR!$J$16:$J$11170,AC1655))</f>
        <v xml:space="preserve">- Valor Estimado: R$ </v>
      </c>
      <c r="C1662" s="121"/>
      <c r="D1662" s="121"/>
      <c r="E1662" s="121"/>
      <c r="F1662" s="121"/>
      <c r="G1662" s="121"/>
      <c r="H1662" s="121"/>
      <c r="I1662" s="121"/>
      <c r="J1662" s="121"/>
      <c r="K1662" s="121"/>
      <c r="L1662" s="121"/>
      <c r="M1662" s="121"/>
      <c r="N1662" s="121"/>
      <c r="O1662" s="121"/>
      <c r="P1662" s="121"/>
      <c r="Q1662" s="121"/>
      <c r="R1662" s="121"/>
      <c r="S1662" s="121"/>
      <c r="T1662" s="121"/>
      <c r="U1662" s="121"/>
      <c r="V1662" s="121"/>
      <c r="W1662" s="121"/>
      <c r="X1662" s="121"/>
      <c r="Y1662" s="121"/>
      <c r="Z1662" s="121"/>
      <c r="AA1662" s="121"/>
      <c r="AB1662" s="121"/>
    </row>
    <row r="1663" spans="2:29" ht="13.5" customHeight="1">
      <c r="B1663" s="100"/>
      <c r="C1663" s="121"/>
      <c r="D1663" s="121"/>
      <c r="E1663" s="121"/>
      <c r="F1663" s="121"/>
      <c r="G1663" s="121"/>
      <c r="H1663" s="121"/>
      <c r="I1663" s="121"/>
      <c r="J1663" s="121"/>
      <c r="K1663" s="121"/>
      <c r="L1663" s="121"/>
      <c r="M1663" s="121"/>
      <c r="N1663" s="121"/>
      <c r="O1663" s="121"/>
      <c r="P1663" s="121"/>
      <c r="Q1663" s="121"/>
      <c r="R1663" s="121"/>
      <c r="S1663" s="121"/>
      <c r="T1663" s="121"/>
      <c r="U1663" s="121"/>
      <c r="V1663" s="121"/>
      <c r="W1663" s="121"/>
      <c r="X1663" s="121"/>
      <c r="Y1663" s="121"/>
      <c r="Z1663" s="121"/>
      <c r="AA1663" s="121"/>
      <c r="AB1663" s="121"/>
    </row>
    <row r="1664" spans="2:29" ht="13.5" customHeight="1">
      <c r="B1664" s="98" t="s">
        <v>55</v>
      </c>
      <c r="C1664" s="121"/>
      <c r="D1664" s="121"/>
      <c r="E1664" s="121"/>
      <c r="F1664" s="121"/>
      <c r="G1664" s="121"/>
      <c r="H1664" s="121"/>
      <c r="I1664" s="121"/>
      <c r="J1664" s="121"/>
      <c r="K1664" s="121"/>
      <c r="L1664" s="121"/>
      <c r="M1664" s="121"/>
      <c r="N1664" s="121"/>
      <c r="O1664" s="121"/>
      <c r="P1664" s="121"/>
      <c r="Q1664" s="121"/>
      <c r="R1664" s="121"/>
      <c r="S1664" s="121"/>
      <c r="T1664" s="121"/>
      <c r="U1664" s="121"/>
      <c r="V1664" s="121"/>
      <c r="W1664" s="121"/>
      <c r="X1664" s="121"/>
      <c r="Y1664" s="121"/>
      <c r="Z1664" s="121"/>
      <c r="AA1664" s="121"/>
      <c r="AB1664" s="121"/>
      <c r="AC1664" s="37">
        <f>AC1655+1</f>
        <v>185</v>
      </c>
    </row>
    <row r="1665" spans="2:29" ht="13.5" customHeight="1">
      <c r="B1665" s="99">
        <f>INDEX(QSGR!$B$16:$B$1570,AC1664)</f>
        <v>0</v>
      </c>
      <c r="C1665" s="121"/>
      <c r="D1665" s="121"/>
      <c r="E1665" s="97">
        <f>INDEX(QSGR!$D$16:$D$11170,AC1664)</f>
        <v>0</v>
      </c>
      <c r="F1665" s="121"/>
      <c r="G1665" s="121"/>
      <c r="H1665" s="121"/>
      <c r="I1665" s="121"/>
      <c r="J1665" s="121"/>
      <c r="K1665" s="121"/>
      <c r="L1665" s="121"/>
      <c r="M1665" s="121"/>
      <c r="N1665" s="121"/>
      <c r="O1665" s="121"/>
      <c r="P1665" s="121"/>
      <c r="Q1665" s="121"/>
      <c r="R1665" s="121"/>
      <c r="S1665" s="121"/>
      <c r="T1665" s="121"/>
      <c r="U1665" s="121"/>
      <c r="V1665" s="121"/>
      <c r="W1665" s="121"/>
      <c r="X1665" s="121"/>
      <c r="Y1665" s="121"/>
      <c r="Z1665" s="121"/>
      <c r="AA1665" s="121"/>
      <c r="AB1665" s="121"/>
    </row>
    <row r="1666" spans="2:29" ht="13.5" customHeight="1">
      <c r="B1666" s="96" t="str">
        <f>CONCATENATE("- Evento: ",INFO!$B$22)</f>
        <v>- Evento: PARTICIPAR DA OPERAÇÃO HORUS.</v>
      </c>
      <c r="C1666" s="121"/>
      <c r="D1666" s="121"/>
      <c r="E1666" s="121"/>
      <c r="F1666" s="121"/>
      <c r="G1666" s="121"/>
      <c r="H1666" s="121"/>
      <c r="I1666" s="121"/>
      <c r="J1666" s="121"/>
      <c r="K1666" s="121"/>
      <c r="L1666" s="121"/>
      <c r="M1666" s="121"/>
      <c r="N1666" s="121"/>
      <c r="O1666" s="121"/>
      <c r="P1666" s="121"/>
      <c r="Q1666" s="121"/>
      <c r="R1666" s="121"/>
      <c r="S1666" s="121"/>
      <c r="T1666" s="121"/>
      <c r="U1666" s="121"/>
      <c r="V1666" s="121"/>
      <c r="W1666" s="121"/>
      <c r="X1666" s="121"/>
      <c r="Y1666" s="121"/>
      <c r="Z1666" s="121"/>
      <c r="AA1666" s="121"/>
      <c r="AB1666" s="121"/>
    </row>
    <row r="1667" spans="2:29" ht="13.5" customHeight="1">
      <c r="B1667" s="98" t="str">
        <f>CONCATENATE("- Documento de Solicitação: ",INFO!$B$24)</f>
        <v>- Documento de Solicitação: TESTE AZUL</v>
      </c>
      <c r="C1667" s="121"/>
      <c r="D1667" s="121"/>
      <c r="E1667" s="121"/>
      <c r="F1667" s="121"/>
      <c r="G1667" s="121"/>
      <c r="H1667" s="121"/>
      <c r="I1667" s="121"/>
      <c r="J1667" s="121"/>
      <c r="K1667" s="121"/>
      <c r="L1667" s="121"/>
      <c r="M1667" s="121"/>
      <c r="N1667" s="121"/>
      <c r="O1667" s="121"/>
      <c r="P1667" s="121"/>
      <c r="Q1667" s="121"/>
      <c r="R1667" s="121"/>
      <c r="S1667" s="121"/>
      <c r="T1667" s="121"/>
      <c r="U1667" s="121"/>
      <c r="V1667" s="121"/>
      <c r="W1667" s="121"/>
      <c r="X1667" s="121"/>
      <c r="Y1667" s="121"/>
      <c r="Z1667" s="121"/>
      <c r="AA1667" s="121"/>
      <c r="AB1667" s="121"/>
    </row>
    <row r="1668" spans="2:29" ht="13.5" customHeight="1">
      <c r="B1668" s="98" t="str">
        <f>CONCATENATE("- Local: ",INFO!$C$18)</f>
        <v>- Local: GUAIRA - PR</v>
      </c>
      <c r="C1668" s="121"/>
      <c r="D1668" s="121"/>
      <c r="E1668" s="121"/>
      <c r="F1668" s="121"/>
      <c r="G1668" s="121"/>
      <c r="H1668" s="121"/>
      <c r="I1668" s="121"/>
      <c r="J1668" s="121"/>
      <c r="K1668" s="121"/>
      <c r="L1668" s="121"/>
      <c r="M1668" s="121"/>
      <c r="N1668" s="121"/>
      <c r="O1668" s="121"/>
      <c r="P1668" s="121"/>
      <c r="Q1668" s="121"/>
      <c r="R1668" s="121"/>
      <c r="S1668" s="121"/>
      <c r="T1668" s="121"/>
      <c r="U1668" s="121"/>
      <c r="V1668" s="121"/>
      <c r="W1668" s="121"/>
      <c r="X1668" s="121"/>
      <c r="Y1668" s="121"/>
      <c r="Z1668" s="121"/>
      <c r="AA1668" s="121"/>
      <c r="AB1668" s="121"/>
    </row>
    <row r="1669" spans="2:29" ht="13.5" customHeight="1">
      <c r="B1669" s="98" t="str">
        <f>CONCATENATE("- Periodo: ",INFO!$C$10," a ",INFO!$C$19)</f>
        <v xml:space="preserve">- Periodo: 22/7/2025  a 23/8/2025 </v>
      </c>
      <c r="C1669" s="121"/>
      <c r="D1669" s="121"/>
      <c r="E1669" s="121"/>
      <c r="F1669" s="121"/>
      <c r="G1669" s="121"/>
      <c r="H1669" s="121"/>
      <c r="I1669" s="121"/>
      <c r="J1669" s="121"/>
      <c r="K1669" s="121"/>
      <c r="L1669" s="121"/>
      <c r="M1669" s="121"/>
      <c r="N1669" s="121"/>
      <c r="O1669" s="121"/>
      <c r="P1669" s="121"/>
      <c r="Q1669" s="121"/>
      <c r="R1669" s="121"/>
      <c r="S1669" s="121"/>
      <c r="T1669" s="121"/>
      <c r="U1669" s="121"/>
      <c r="V1669" s="121"/>
      <c r="W1669" s="121"/>
      <c r="X1669" s="121"/>
      <c r="Y1669" s="121"/>
      <c r="Z1669" s="121"/>
      <c r="AA1669" s="121"/>
      <c r="AB1669" s="121"/>
    </row>
    <row r="1670" spans="2:29" ht="13.5" customHeight="1">
      <c r="B1670" s="98" t="str">
        <f>CONCATENATE("- Nr Dias: ",INFO!$C$20)</f>
        <v>- Nr Dias: 33</v>
      </c>
      <c r="C1670" s="121"/>
      <c r="D1670" s="121"/>
      <c r="E1670" s="121"/>
      <c r="F1670" s="121"/>
      <c r="G1670" s="121"/>
      <c r="H1670" s="121"/>
      <c r="I1670" s="121"/>
      <c r="J1670" s="121"/>
      <c r="K1670" s="121"/>
      <c r="L1670" s="121"/>
      <c r="M1670" s="121"/>
      <c r="N1670" s="121"/>
      <c r="O1670" s="121"/>
      <c r="P1670" s="121"/>
      <c r="Q1670" s="121"/>
      <c r="R1670" s="121"/>
      <c r="S1670" s="121"/>
      <c r="T1670" s="121"/>
      <c r="U1670" s="121"/>
      <c r="V1670" s="121"/>
      <c r="W1670" s="121"/>
      <c r="X1670" s="121"/>
      <c r="Y1670" s="121"/>
      <c r="Z1670" s="121"/>
      <c r="AA1670" s="121"/>
      <c r="AB1670" s="121"/>
    </row>
    <row r="1671" spans="2:29" ht="13.5" customHeight="1">
      <c r="B1671" s="98" t="str">
        <f>CONCATENATE("- Valor Estimado: R$ ",INDEX(QSGR!$J$16:$J$11170,AC1664))</f>
        <v xml:space="preserve">- Valor Estimado: R$ </v>
      </c>
      <c r="C1671" s="121"/>
      <c r="D1671" s="121"/>
      <c r="E1671" s="121"/>
      <c r="F1671" s="121"/>
      <c r="G1671" s="121"/>
      <c r="H1671" s="121"/>
      <c r="I1671" s="121"/>
      <c r="J1671" s="121"/>
      <c r="K1671" s="121"/>
      <c r="L1671" s="121"/>
      <c r="M1671" s="121"/>
      <c r="N1671" s="121"/>
      <c r="O1671" s="121"/>
      <c r="P1671" s="121"/>
      <c r="Q1671" s="121"/>
      <c r="R1671" s="121"/>
      <c r="S1671" s="121"/>
      <c r="T1671" s="121"/>
      <c r="U1671" s="121"/>
      <c r="V1671" s="121"/>
      <c r="W1671" s="121"/>
      <c r="X1671" s="121"/>
      <c r="Y1671" s="121"/>
      <c r="Z1671" s="121"/>
      <c r="AA1671" s="121"/>
      <c r="AB1671" s="121"/>
    </row>
    <row r="1672" spans="2:29" ht="13.5" customHeight="1">
      <c r="B1672" s="100"/>
      <c r="C1672" s="121"/>
      <c r="D1672" s="121"/>
      <c r="E1672" s="121"/>
      <c r="F1672" s="121"/>
      <c r="G1672" s="121"/>
      <c r="H1672" s="121"/>
      <c r="I1672" s="121"/>
      <c r="J1672" s="121"/>
      <c r="K1672" s="121"/>
      <c r="L1672" s="121"/>
      <c r="M1672" s="121"/>
      <c r="N1672" s="121"/>
      <c r="O1672" s="121"/>
      <c r="P1672" s="121"/>
      <c r="Q1672" s="121"/>
      <c r="R1672" s="121"/>
      <c r="S1672" s="121"/>
      <c r="T1672" s="121"/>
      <c r="U1672" s="121"/>
      <c r="V1672" s="121"/>
      <c r="W1672" s="121"/>
      <c r="X1672" s="121"/>
      <c r="Y1672" s="121"/>
      <c r="Z1672" s="121"/>
      <c r="AA1672" s="121"/>
      <c r="AB1672" s="121"/>
    </row>
    <row r="1673" spans="2:29" ht="13.5" customHeight="1">
      <c r="B1673" s="98" t="s">
        <v>55</v>
      </c>
      <c r="C1673" s="121"/>
      <c r="D1673" s="121"/>
      <c r="E1673" s="121"/>
      <c r="F1673" s="121"/>
      <c r="G1673" s="121"/>
      <c r="H1673" s="121"/>
      <c r="I1673" s="121"/>
      <c r="J1673" s="121"/>
      <c r="K1673" s="121"/>
      <c r="L1673" s="121"/>
      <c r="M1673" s="121"/>
      <c r="N1673" s="121"/>
      <c r="O1673" s="121"/>
      <c r="P1673" s="121"/>
      <c r="Q1673" s="121"/>
      <c r="R1673" s="121"/>
      <c r="S1673" s="121"/>
      <c r="T1673" s="121"/>
      <c r="U1673" s="121"/>
      <c r="V1673" s="121"/>
      <c r="W1673" s="121"/>
      <c r="X1673" s="121"/>
      <c r="Y1673" s="121"/>
      <c r="Z1673" s="121"/>
      <c r="AA1673" s="121"/>
      <c r="AB1673" s="121"/>
      <c r="AC1673" s="37">
        <f>AC1664+1</f>
        <v>186</v>
      </c>
    </row>
    <row r="1674" spans="2:29" ht="13.5" customHeight="1">
      <c r="B1674" s="99">
        <f>INDEX(QSGR!$B$16:$B$1570,AC1673)</f>
        <v>0</v>
      </c>
      <c r="C1674" s="121"/>
      <c r="D1674" s="121"/>
      <c r="E1674" s="97">
        <f>INDEX(QSGR!$D$16:$D$11170,AC1673)</f>
        <v>0</v>
      </c>
      <c r="F1674" s="121"/>
      <c r="G1674" s="121"/>
      <c r="H1674" s="121"/>
      <c r="I1674" s="121"/>
      <c r="J1674" s="121"/>
      <c r="K1674" s="121"/>
      <c r="L1674" s="121"/>
      <c r="M1674" s="121"/>
      <c r="N1674" s="121"/>
      <c r="O1674" s="121"/>
      <c r="P1674" s="121"/>
      <c r="Q1674" s="121"/>
      <c r="R1674" s="121"/>
      <c r="S1674" s="121"/>
      <c r="T1674" s="121"/>
      <c r="U1674" s="121"/>
      <c r="V1674" s="121"/>
      <c r="W1674" s="121"/>
      <c r="X1674" s="121"/>
      <c r="Y1674" s="121"/>
      <c r="Z1674" s="121"/>
      <c r="AA1674" s="121"/>
      <c r="AB1674" s="121"/>
    </row>
    <row r="1675" spans="2:29" ht="13.5" customHeight="1">
      <c r="B1675" s="96" t="str">
        <f>CONCATENATE("- Evento: ",INFO!$B$22)</f>
        <v>- Evento: PARTICIPAR DA OPERAÇÃO HORUS.</v>
      </c>
      <c r="C1675" s="121"/>
      <c r="D1675" s="121"/>
      <c r="E1675" s="121"/>
      <c r="F1675" s="121"/>
      <c r="G1675" s="121"/>
      <c r="H1675" s="121"/>
      <c r="I1675" s="121"/>
      <c r="J1675" s="121"/>
      <c r="K1675" s="121"/>
      <c r="L1675" s="121"/>
      <c r="M1675" s="121"/>
      <c r="N1675" s="121"/>
      <c r="O1675" s="121"/>
      <c r="P1675" s="121"/>
      <c r="Q1675" s="121"/>
      <c r="R1675" s="121"/>
      <c r="S1675" s="121"/>
      <c r="T1675" s="121"/>
      <c r="U1675" s="121"/>
      <c r="V1675" s="121"/>
      <c r="W1675" s="121"/>
      <c r="X1675" s="121"/>
      <c r="Y1675" s="121"/>
      <c r="Z1675" s="121"/>
      <c r="AA1675" s="121"/>
      <c r="AB1675" s="121"/>
    </row>
    <row r="1676" spans="2:29" ht="13.5" customHeight="1">
      <c r="B1676" s="98" t="str">
        <f>CONCATENATE("- Documento de Solicitação: ",INFO!$B$24)</f>
        <v>- Documento de Solicitação: TESTE AZUL</v>
      </c>
      <c r="C1676" s="121"/>
      <c r="D1676" s="121"/>
      <c r="E1676" s="121"/>
      <c r="F1676" s="121"/>
      <c r="G1676" s="121"/>
      <c r="H1676" s="121"/>
      <c r="I1676" s="121"/>
      <c r="J1676" s="121"/>
      <c r="K1676" s="121"/>
      <c r="L1676" s="121"/>
      <c r="M1676" s="121"/>
      <c r="N1676" s="121"/>
      <c r="O1676" s="121"/>
      <c r="P1676" s="121"/>
      <c r="Q1676" s="121"/>
      <c r="R1676" s="121"/>
      <c r="S1676" s="121"/>
      <c r="T1676" s="121"/>
      <c r="U1676" s="121"/>
      <c r="V1676" s="121"/>
      <c r="W1676" s="121"/>
      <c r="X1676" s="121"/>
      <c r="Y1676" s="121"/>
      <c r="Z1676" s="121"/>
      <c r="AA1676" s="121"/>
      <c r="AB1676" s="121"/>
    </row>
    <row r="1677" spans="2:29" ht="13.5" customHeight="1">
      <c r="B1677" s="98" t="str">
        <f>CONCATENATE("- Local: ",INFO!$C$18)</f>
        <v>- Local: GUAIRA - PR</v>
      </c>
      <c r="C1677" s="121"/>
      <c r="D1677" s="121"/>
      <c r="E1677" s="121"/>
      <c r="F1677" s="121"/>
      <c r="G1677" s="121"/>
      <c r="H1677" s="121"/>
      <c r="I1677" s="121"/>
      <c r="J1677" s="121"/>
      <c r="K1677" s="121"/>
      <c r="L1677" s="121"/>
      <c r="M1677" s="121"/>
      <c r="N1677" s="121"/>
      <c r="O1677" s="121"/>
      <c r="P1677" s="121"/>
      <c r="Q1677" s="121"/>
      <c r="R1677" s="121"/>
      <c r="S1677" s="121"/>
      <c r="T1677" s="121"/>
      <c r="U1677" s="121"/>
      <c r="V1677" s="121"/>
      <c r="W1677" s="121"/>
      <c r="X1677" s="121"/>
      <c r="Y1677" s="121"/>
      <c r="Z1677" s="121"/>
      <c r="AA1677" s="121"/>
      <c r="AB1677" s="121"/>
    </row>
    <row r="1678" spans="2:29" ht="13.5" customHeight="1">
      <c r="B1678" s="98" t="str">
        <f>CONCATENATE("- Periodo: ",INFO!$C$10," a ",INFO!$C$19)</f>
        <v xml:space="preserve">- Periodo: 22/7/2025  a 23/8/2025 </v>
      </c>
      <c r="C1678" s="121"/>
      <c r="D1678" s="121"/>
      <c r="E1678" s="121"/>
      <c r="F1678" s="121"/>
      <c r="G1678" s="121"/>
      <c r="H1678" s="121"/>
      <c r="I1678" s="121"/>
      <c r="J1678" s="121"/>
      <c r="K1678" s="121"/>
      <c r="L1678" s="121"/>
      <c r="M1678" s="121"/>
      <c r="N1678" s="121"/>
      <c r="O1678" s="121"/>
      <c r="P1678" s="121"/>
      <c r="Q1678" s="121"/>
      <c r="R1678" s="121"/>
      <c r="S1678" s="121"/>
      <c r="T1678" s="121"/>
      <c r="U1678" s="121"/>
      <c r="V1678" s="121"/>
      <c r="W1678" s="121"/>
      <c r="X1678" s="121"/>
      <c r="Y1678" s="121"/>
      <c r="Z1678" s="121"/>
      <c r="AA1678" s="121"/>
      <c r="AB1678" s="121"/>
    </row>
    <row r="1679" spans="2:29" ht="13.5" customHeight="1">
      <c r="B1679" s="98" t="str">
        <f>CONCATENATE("- Nr Dias: ",INFO!$C$20)</f>
        <v>- Nr Dias: 33</v>
      </c>
      <c r="C1679" s="121"/>
      <c r="D1679" s="121"/>
      <c r="E1679" s="121"/>
      <c r="F1679" s="121"/>
      <c r="G1679" s="121"/>
      <c r="H1679" s="121"/>
      <c r="I1679" s="121"/>
      <c r="J1679" s="121"/>
      <c r="K1679" s="121"/>
      <c r="L1679" s="121"/>
      <c r="M1679" s="121"/>
      <c r="N1679" s="121"/>
      <c r="O1679" s="121"/>
      <c r="P1679" s="121"/>
      <c r="Q1679" s="121"/>
      <c r="R1679" s="121"/>
      <c r="S1679" s="121"/>
      <c r="T1679" s="121"/>
      <c r="U1679" s="121"/>
      <c r="V1679" s="121"/>
      <c r="W1679" s="121"/>
      <c r="X1679" s="121"/>
      <c r="Y1679" s="121"/>
      <c r="Z1679" s="121"/>
      <c r="AA1679" s="121"/>
      <c r="AB1679" s="121"/>
    </row>
    <row r="1680" spans="2:29" ht="13.5" customHeight="1">
      <c r="B1680" s="98" t="str">
        <f>CONCATENATE("- Valor Estimado: R$ ",INDEX(QSGR!$J$16:$J$11170,AC1673))</f>
        <v xml:space="preserve">- Valor Estimado: R$ </v>
      </c>
      <c r="C1680" s="121"/>
      <c r="D1680" s="121"/>
      <c r="E1680" s="121"/>
      <c r="F1680" s="121"/>
      <c r="G1680" s="121"/>
      <c r="H1680" s="121"/>
      <c r="I1680" s="121"/>
      <c r="J1680" s="121"/>
      <c r="K1680" s="121"/>
      <c r="L1680" s="121"/>
      <c r="M1680" s="121"/>
      <c r="N1680" s="121"/>
      <c r="O1680" s="121"/>
      <c r="P1680" s="121"/>
      <c r="Q1680" s="121"/>
      <c r="R1680" s="121"/>
      <c r="S1680" s="121"/>
      <c r="T1680" s="121"/>
      <c r="U1680" s="121"/>
      <c r="V1680" s="121"/>
      <c r="W1680" s="121"/>
      <c r="X1680" s="121"/>
      <c r="Y1680" s="121"/>
      <c r="Z1680" s="121"/>
      <c r="AA1680" s="121"/>
      <c r="AB1680" s="121"/>
    </row>
    <row r="1681" spans="2:29" ht="13.5" customHeight="1">
      <c r="B1681" s="100"/>
      <c r="C1681" s="121"/>
      <c r="D1681" s="121"/>
      <c r="E1681" s="121"/>
      <c r="F1681" s="121"/>
      <c r="G1681" s="121"/>
      <c r="H1681" s="121"/>
      <c r="I1681" s="121"/>
      <c r="J1681" s="121"/>
      <c r="K1681" s="121"/>
      <c r="L1681" s="121"/>
      <c r="M1681" s="121"/>
      <c r="N1681" s="121"/>
      <c r="O1681" s="121"/>
      <c r="P1681" s="121"/>
      <c r="Q1681" s="121"/>
      <c r="R1681" s="121"/>
      <c r="S1681" s="121"/>
      <c r="T1681" s="121"/>
      <c r="U1681" s="121"/>
      <c r="V1681" s="121"/>
      <c r="W1681" s="121"/>
      <c r="X1681" s="121"/>
      <c r="Y1681" s="121"/>
      <c r="Z1681" s="121"/>
      <c r="AA1681" s="121"/>
      <c r="AB1681" s="121"/>
    </row>
    <row r="1682" spans="2:29" ht="13.5" customHeight="1">
      <c r="B1682" s="98" t="s">
        <v>55</v>
      </c>
      <c r="C1682" s="121"/>
      <c r="D1682" s="121"/>
      <c r="E1682" s="121"/>
      <c r="F1682" s="121"/>
      <c r="G1682" s="121"/>
      <c r="H1682" s="121"/>
      <c r="I1682" s="121"/>
      <c r="J1682" s="121"/>
      <c r="K1682" s="121"/>
      <c r="L1682" s="121"/>
      <c r="M1682" s="121"/>
      <c r="N1682" s="121"/>
      <c r="O1682" s="121"/>
      <c r="P1682" s="121"/>
      <c r="Q1682" s="121"/>
      <c r="R1682" s="121"/>
      <c r="S1682" s="121"/>
      <c r="T1682" s="121"/>
      <c r="U1682" s="121"/>
      <c r="V1682" s="121"/>
      <c r="W1682" s="121"/>
      <c r="X1682" s="121"/>
      <c r="Y1682" s="121"/>
      <c r="Z1682" s="121"/>
      <c r="AA1682" s="121"/>
      <c r="AB1682" s="121"/>
      <c r="AC1682" s="37">
        <f>AC1673+1</f>
        <v>187</v>
      </c>
    </row>
    <row r="1683" spans="2:29" ht="13.5" customHeight="1">
      <c r="B1683" s="99">
        <f>INDEX(QSGR!$B$16:$B$1570,AC1682)</f>
        <v>0</v>
      </c>
      <c r="C1683" s="121"/>
      <c r="D1683" s="121"/>
      <c r="E1683" s="97">
        <f>INDEX(QSGR!$D$16:$D$11170,AC1682)</f>
        <v>0</v>
      </c>
      <c r="F1683" s="121"/>
      <c r="G1683" s="121"/>
      <c r="H1683" s="121"/>
      <c r="I1683" s="121"/>
      <c r="J1683" s="121"/>
      <c r="K1683" s="121"/>
      <c r="L1683" s="121"/>
      <c r="M1683" s="121"/>
      <c r="N1683" s="121"/>
      <c r="O1683" s="121"/>
      <c r="P1683" s="121"/>
      <c r="Q1683" s="121"/>
      <c r="R1683" s="121"/>
      <c r="S1683" s="121"/>
      <c r="T1683" s="121"/>
      <c r="U1683" s="121"/>
      <c r="V1683" s="121"/>
      <c r="W1683" s="121"/>
      <c r="X1683" s="121"/>
      <c r="Y1683" s="121"/>
      <c r="Z1683" s="121"/>
      <c r="AA1683" s="121"/>
      <c r="AB1683" s="121"/>
    </row>
    <row r="1684" spans="2:29" ht="13.5" customHeight="1">
      <c r="B1684" s="96" t="str">
        <f>CONCATENATE("- Evento: ",INFO!$B$22)</f>
        <v>- Evento: PARTICIPAR DA OPERAÇÃO HORUS.</v>
      </c>
      <c r="C1684" s="121"/>
      <c r="D1684" s="121"/>
      <c r="E1684" s="121"/>
      <c r="F1684" s="121"/>
      <c r="G1684" s="121"/>
      <c r="H1684" s="121"/>
      <c r="I1684" s="121"/>
      <c r="J1684" s="121"/>
      <c r="K1684" s="121"/>
      <c r="L1684" s="121"/>
      <c r="M1684" s="121"/>
      <c r="N1684" s="121"/>
      <c r="O1684" s="121"/>
      <c r="P1684" s="121"/>
      <c r="Q1684" s="121"/>
      <c r="R1684" s="121"/>
      <c r="S1684" s="121"/>
      <c r="T1684" s="121"/>
      <c r="U1684" s="121"/>
      <c r="V1684" s="121"/>
      <c r="W1684" s="121"/>
      <c r="X1684" s="121"/>
      <c r="Y1684" s="121"/>
      <c r="Z1684" s="121"/>
      <c r="AA1684" s="121"/>
      <c r="AB1684" s="121"/>
    </row>
    <row r="1685" spans="2:29" ht="13.5" customHeight="1">
      <c r="B1685" s="98" t="str">
        <f>CONCATENATE("- Documento de Solicitação: ",INFO!$B$24)</f>
        <v>- Documento de Solicitação: TESTE AZUL</v>
      </c>
      <c r="C1685" s="121"/>
      <c r="D1685" s="121"/>
      <c r="E1685" s="121"/>
      <c r="F1685" s="121"/>
      <c r="G1685" s="121"/>
      <c r="H1685" s="121"/>
      <c r="I1685" s="121"/>
      <c r="J1685" s="121"/>
      <c r="K1685" s="121"/>
      <c r="L1685" s="121"/>
      <c r="M1685" s="121"/>
      <c r="N1685" s="121"/>
      <c r="O1685" s="121"/>
      <c r="P1685" s="121"/>
      <c r="Q1685" s="121"/>
      <c r="R1685" s="121"/>
      <c r="S1685" s="121"/>
      <c r="T1685" s="121"/>
      <c r="U1685" s="121"/>
      <c r="V1685" s="121"/>
      <c r="W1685" s="121"/>
      <c r="X1685" s="121"/>
      <c r="Y1685" s="121"/>
      <c r="Z1685" s="121"/>
      <c r="AA1685" s="121"/>
      <c r="AB1685" s="121"/>
    </row>
    <row r="1686" spans="2:29" ht="13.5" customHeight="1">
      <c r="B1686" s="98" t="str">
        <f>CONCATENATE("- Local: ",INFO!$C$18)</f>
        <v>- Local: GUAIRA - PR</v>
      </c>
      <c r="C1686" s="121"/>
      <c r="D1686" s="121"/>
      <c r="E1686" s="121"/>
      <c r="F1686" s="121"/>
      <c r="G1686" s="121"/>
      <c r="H1686" s="121"/>
      <c r="I1686" s="121"/>
      <c r="J1686" s="121"/>
      <c r="K1686" s="121"/>
      <c r="L1686" s="121"/>
      <c r="M1686" s="121"/>
      <c r="N1686" s="121"/>
      <c r="O1686" s="121"/>
      <c r="P1686" s="121"/>
      <c r="Q1686" s="121"/>
      <c r="R1686" s="121"/>
      <c r="S1686" s="121"/>
      <c r="T1686" s="121"/>
      <c r="U1686" s="121"/>
      <c r="V1686" s="121"/>
      <c r="W1686" s="121"/>
      <c r="X1686" s="121"/>
      <c r="Y1686" s="121"/>
      <c r="Z1686" s="121"/>
      <c r="AA1686" s="121"/>
      <c r="AB1686" s="121"/>
    </row>
    <row r="1687" spans="2:29" ht="13.5" customHeight="1">
      <c r="B1687" s="98" t="str">
        <f>CONCATENATE("- Periodo: ",INFO!$C$10," a ",INFO!$C$19)</f>
        <v xml:space="preserve">- Periodo: 22/7/2025  a 23/8/2025 </v>
      </c>
      <c r="C1687" s="121"/>
      <c r="D1687" s="121"/>
      <c r="E1687" s="121"/>
      <c r="F1687" s="121"/>
      <c r="G1687" s="121"/>
      <c r="H1687" s="121"/>
      <c r="I1687" s="121"/>
      <c r="J1687" s="121"/>
      <c r="K1687" s="121"/>
      <c r="L1687" s="121"/>
      <c r="M1687" s="121"/>
      <c r="N1687" s="121"/>
      <c r="O1687" s="121"/>
      <c r="P1687" s="121"/>
      <c r="Q1687" s="121"/>
      <c r="R1687" s="121"/>
      <c r="S1687" s="121"/>
      <c r="T1687" s="121"/>
      <c r="U1687" s="121"/>
      <c r="V1687" s="121"/>
      <c r="W1687" s="121"/>
      <c r="X1687" s="121"/>
      <c r="Y1687" s="121"/>
      <c r="Z1687" s="121"/>
      <c r="AA1687" s="121"/>
      <c r="AB1687" s="121"/>
    </row>
    <row r="1688" spans="2:29" ht="13.5" customHeight="1">
      <c r="B1688" s="98" t="str">
        <f>CONCATENATE("- Nr Dias: ",INFO!$C$20)</f>
        <v>- Nr Dias: 33</v>
      </c>
      <c r="C1688" s="121"/>
      <c r="D1688" s="121"/>
      <c r="E1688" s="121"/>
      <c r="F1688" s="121"/>
      <c r="G1688" s="121"/>
      <c r="H1688" s="121"/>
      <c r="I1688" s="121"/>
      <c r="J1688" s="121"/>
      <c r="K1688" s="121"/>
      <c r="L1688" s="121"/>
      <c r="M1688" s="121"/>
      <c r="N1688" s="121"/>
      <c r="O1688" s="121"/>
      <c r="P1688" s="121"/>
      <c r="Q1688" s="121"/>
      <c r="R1688" s="121"/>
      <c r="S1688" s="121"/>
      <c r="T1688" s="121"/>
      <c r="U1688" s="121"/>
      <c r="V1688" s="121"/>
      <c r="W1688" s="121"/>
      <c r="X1688" s="121"/>
      <c r="Y1688" s="121"/>
      <c r="Z1688" s="121"/>
      <c r="AA1688" s="121"/>
      <c r="AB1688" s="121"/>
    </row>
    <row r="1689" spans="2:29" ht="13.5" customHeight="1">
      <c r="B1689" s="98" t="str">
        <f>CONCATENATE("- Valor Estimado: R$ ",INDEX(QSGR!$J$16:$J$11170,AC1682))</f>
        <v xml:space="preserve">- Valor Estimado: R$ </v>
      </c>
      <c r="C1689" s="121"/>
      <c r="D1689" s="121"/>
      <c r="E1689" s="121"/>
      <c r="F1689" s="121"/>
      <c r="G1689" s="121"/>
      <c r="H1689" s="121"/>
      <c r="I1689" s="121"/>
      <c r="J1689" s="121"/>
      <c r="K1689" s="121"/>
      <c r="L1689" s="121"/>
      <c r="M1689" s="121"/>
      <c r="N1689" s="121"/>
      <c r="O1689" s="121"/>
      <c r="P1689" s="121"/>
      <c r="Q1689" s="121"/>
      <c r="R1689" s="121"/>
      <c r="S1689" s="121"/>
      <c r="T1689" s="121"/>
      <c r="U1689" s="121"/>
      <c r="V1689" s="121"/>
      <c r="W1689" s="121"/>
      <c r="X1689" s="121"/>
      <c r="Y1689" s="121"/>
      <c r="Z1689" s="121"/>
      <c r="AA1689" s="121"/>
      <c r="AB1689" s="121"/>
    </row>
    <row r="1690" spans="2:29" ht="13.5" customHeight="1">
      <c r="B1690" s="100"/>
      <c r="C1690" s="121"/>
      <c r="D1690" s="121"/>
      <c r="E1690" s="121"/>
      <c r="F1690" s="121"/>
      <c r="G1690" s="121"/>
      <c r="H1690" s="121"/>
      <c r="I1690" s="121"/>
      <c r="J1690" s="121"/>
      <c r="K1690" s="121"/>
      <c r="L1690" s="121"/>
      <c r="M1690" s="121"/>
      <c r="N1690" s="121"/>
      <c r="O1690" s="121"/>
      <c r="P1690" s="121"/>
      <c r="Q1690" s="121"/>
      <c r="R1690" s="121"/>
      <c r="S1690" s="121"/>
      <c r="T1690" s="121"/>
      <c r="U1690" s="121"/>
      <c r="V1690" s="121"/>
      <c r="W1690" s="121"/>
      <c r="X1690" s="121"/>
      <c r="Y1690" s="121"/>
      <c r="Z1690" s="121"/>
      <c r="AA1690" s="121"/>
      <c r="AB1690" s="121"/>
    </row>
    <row r="1691" spans="2:29" ht="13.5" customHeight="1">
      <c r="B1691" s="98" t="s">
        <v>55</v>
      </c>
      <c r="C1691" s="121"/>
      <c r="D1691" s="121"/>
      <c r="E1691" s="121"/>
      <c r="F1691" s="121"/>
      <c r="G1691" s="121"/>
      <c r="H1691" s="121"/>
      <c r="I1691" s="121"/>
      <c r="J1691" s="121"/>
      <c r="K1691" s="121"/>
      <c r="L1691" s="121"/>
      <c r="M1691" s="121"/>
      <c r="N1691" s="121"/>
      <c r="O1691" s="121"/>
      <c r="P1691" s="121"/>
      <c r="Q1691" s="121"/>
      <c r="R1691" s="121"/>
      <c r="S1691" s="121"/>
      <c r="T1691" s="121"/>
      <c r="U1691" s="121"/>
      <c r="V1691" s="121"/>
      <c r="W1691" s="121"/>
      <c r="X1691" s="121"/>
      <c r="Y1691" s="121"/>
      <c r="Z1691" s="121"/>
      <c r="AA1691" s="121"/>
      <c r="AB1691" s="121"/>
      <c r="AC1691" s="37">
        <f>AC1682+1</f>
        <v>188</v>
      </c>
    </row>
    <row r="1692" spans="2:29" ht="13.5" customHeight="1">
      <c r="B1692" s="99">
        <f>INDEX(QSGR!$B$16:$B$1570,AC1691)</f>
        <v>0</v>
      </c>
      <c r="C1692" s="121"/>
      <c r="D1692" s="121"/>
      <c r="E1692" s="97">
        <f>INDEX(QSGR!$D$16:$D$11170,AC1691)</f>
        <v>0</v>
      </c>
      <c r="F1692" s="121"/>
      <c r="G1692" s="121"/>
      <c r="H1692" s="121"/>
      <c r="I1692" s="121"/>
      <c r="J1692" s="121"/>
      <c r="K1692" s="121"/>
      <c r="L1692" s="121"/>
      <c r="M1692" s="121"/>
      <c r="N1692" s="121"/>
      <c r="O1692" s="121"/>
      <c r="P1692" s="121"/>
      <c r="Q1692" s="121"/>
      <c r="R1692" s="121"/>
      <c r="S1692" s="121"/>
      <c r="T1692" s="121"/>
      <c r="U1692" s="121"/>
      <c r="V1692" s="121"/>
      <c r="W1692" s="121"/>
      <c r="X1692" s="121"/>
      <c r="Y1692" s="121"/>
      <c r="Z1692" s="121"/>
      <c r="AA1692" s="121"/>
      <c r="AB1692" s="121"/>
    </row>
    <row r="1693" spans="2:29" ht="13.5" customHeight="1">
      <c r="B1693" s="96" t="str">
        <f>CONCATENATE("- Evento: ",INFO!$B$22)</f>
        <v>- Evento: PARTICIPAR DA OPERAÇÃO HORUS.</v>
      </c>
      <c r="C1693" s="121"/>
      <c r="D1693" s="121"/>
      <c r="E1693" s="121"/>
      <c r="F1693" s="121"/>
      <c r="G1693" s="121"/>
      <c r="H1693" s="121"/>
      <c r="I1693" s="121"/>
      <c r="J1693" s="121"/>
      <c r="K1693" s="121"/>
      <c r="L1693" s="121"/>
      <c r="M1693" s="121"/>
      <c r="N1693" s="121"/>
      <c r="O1693" s="121"/>
      <c r="P1693" s="121"/>
      <c r="Q1693" s="121"/>
      <c r="R1693" s="121"/>
      <c r="S1693" s="121"/>
      <c r="T1693" s="121"/>
      <c r="U1693" s="121"/>
      <c r="V1693" s="121"/>
      <c r="W1693" s="121"/>
      <c r="X1693" s="121"/>
      <c r="Y1693" s="121"/>
      <c r="Z1693" s="121"/>
      <c r="AA1693" s="121"/>
      <c r="AB1693" s="121"/>
    </row>
    <row r="1694" spans="2:29" ht="13.5" customHeight="1">
      <c r="B1694" s="98" t="str">
        <f>CONCATENATE("- Documento de Solicitação: ",INFO!$B$24)</f>
        <v>- Documento de Solicitação: TESTE AZUL</v>
      </c>
      <c r="C1694" s="121"/>
      <c r="D1694" s="121"/>
      <c r="E1694" s="121"/>
      <c r="F1694" s="121"/>
      <c r="G1694" s="121"/>
      <c r="H1694" s="121"/>
      <c r="I1694" s="121"/>
      <c r="J1694" s="121"/>
      <c r="K1694" s="121"/>
      <c r="L1694" s="121"/>
      <c r="M1694" s="121"/>
      <c r="N1694" s="121"/>
      <c r="O1694" s="121"/>
      <c r="P1694" s="121"/>
      <c r="Q1694" s="121"/>
      <c r="R1694" s="121"/>
      <c r="S1694" s="121"/>
      <c r="T1694" s="121"/>
      <c r="U1694" s="121"/>
      <c r="V1694" s="121"/>
      <c r="W1694" s="121"/>
      <c r="X1694" s="121"/>
      <c r="Y1694" s="121"/>
      <c r="Z1694" s="121"/>
      <c r="AA1694" s="121"/>
      <c r="AB1694" s="121"/>
    </row>
    <row r="1695" spans="2:29" ht="13.5" customHeight="1">
      <c r="B1695" s="98" t="str">
        <f>CONCATENATE("- Local: ",INFO!$C$18)</f>
        <v>- Local: GUAIRA - PR</v>
      </c>
      <c r="C1695" s="121"/>
      <c r="D1695" s="121"/>
      <c r="E1695" s="121"/>
      <c r="F1695" s="121"/>
      <c r="G1695" s="121"/>
      <c r="H1695" s="121"/>
      <c r="I1695" s="121"/>
      <c r="J1695" s="121"/>
      <c r="K1695" s="121"/>
      <c r="L1695" s="121"/>
      <c r="M1695" s="121"/>
      <c r="N1695" s="121"/>
      <c r="O1695" s="121"/>
      <c r="P1695" s="121"/>
      <c r="Q1695" s="121"/>
      <c r="R1695" s="121"/>
      <c r="S1695" s="121"/>
      <c r="T1695" s="121"/>
      <c r="U1695" s="121"/>
      <c r="V1695" s="121"/>
      <c r="W1695" s="121"/>
      <c r="X1695" s="121"/>
      <c r="Y1695" s="121"/>
      <c r="Z1695" s="121"/>
      <c r="AA1695" s="121"/>
      <c r="AB1695" s="121"/>
    </row>
    <row r="1696" spans="2:29" ht="13.5" customHeight="1">
      <c r="B1696" s="98" t="str">
        <f>CONCATENATE("- Periodo: ",INFO!$C$10," a ",INFO!$C$19)</f>
        <v xml:space="preserve">- Periodo: 22/7/2025  a 23/8/2025 </v>
      </c>
      <c r="C1696" s="121"/>
      <c r="D1696" s="121"/>
      <c r="E1696" s="121"/>
      <c r="F1696" s="121"/>
      <c r="G1696" s="121"/>
      <c r="H1696" s="121"/>
      <c r="I1696" s="121"/>
      <c r="J1696" s="121"/>
      <c r="K1696" s="121"/>
      <c r="L1696" s="121"/>
      <c r="M1696" s="121"/>
      <c r="N1696" s="121"/>
      <c r="O1696" s="121"/>
      <c r="P1696" s="121"/>
      <c r="Q1696" s="121"/>
      <c r="R1696" s="121"/>
      <c r="S1696" s="121"/>
      <c r="T1696" s="121"/>
      <c r="U1696" s="121"/>
      <c r="V1696" s="121"/>
      <c r="W1696" s="121"/>
      <c r="X1696" s="121"/>
      <c r="Y1696" s="121"/>
      <c r="Z1696" s="121"/>
      <c r="AA1696" s="121"/>
      <c r="AB1696" s="121"/>
    </row>
    <row r="1697" spans="2:29" ht="13.5" customHeight="1">
      <c r="B1697" s="98" t="str">
        <f>CONCATENATE("- Nr Dias: ",INFO!$C$20)</f>
        <v>- Nr Dias: 33</v>
      </c>
      <c r="C1697" s="121"/>
      <c r="D1697" s="121"/>
      <c r="E1697" s="121"/>
      <c r="F1697" s="121"/>
      <c r="G1697" s="121"/>
      <c r="H1697" s="121"/>
      <c r="I1697" s="121"/>
      <c r="J1697" s="121"/>
      <c r="K1697" s="121"/>
      <c r="L1697" s="121"/>
      <c r="M1697" s="121"/>
      <c r="N1697" s="121"/>
      <c r="O1697" s="121"/>
      <c r="P1697" s="121"/>
      <c r="Q1697" s="121"/>
      <c r="R1697" s="121"/>
      <c r="S1697" s="121"/>
      <c r="T1697" s="121"/>
      <c r="U1697" s="121"/>
      <c r="V1697" s="121"/>
      <c r="W1697" s="121"/>
      <c r="X1697" s="121"/>
      <c r="Y1697" s="121"/>
      <c r="Z1697" s="121"/>
      <c r="AA1697" s="121"/>
      <c r="AB1697" s="121"/>
    </row>
    <row r="1698" spans="2:29" ht="13.5" customHeight="1">
      <c r="B1698" s="98" t="str">
        <f>CONCATENATE("- Valor Estimado: R$ ",INDEX(QSGR!$J$16:$J$11170,AC1691))</f>
        <v xml:space="preserve">- Valor Estimado: R$ </v>
      </c>
      <c r="C1698" s="121"/>
      <c r="D1698" s="121"/>
      <c r="E1698" s="121"/>
      <c r="F1698" s="121"/>
      <c r="G1698" s="121"/>
      <c r="H1698" s="121"/>
      <c r="I1698" s="121"/>
      <c r="J1698" s="121"/>
      <c r="K1698" s="121"/>
      <c r="L1698" s="121"/>
      <c r="M1698" s="121"/>
      <c r="N1698" s="121"/>
      <c r="O1698" s="121"/>
      <c r="P1698" s="121"/>
      <c r="Q1698" s="121"/>
      <c r="R1698" s="121"/>
      <c r="S1698" s="121"/>
      <c r="T1698" s="121"/>
      <c r="U1698" s="121"/>
      <c r="V1698" s="121"/>
      <c r="W1698" s="121"/>
      <c r="X1698" s="121"/>
      <c r="Y1698" s="121"/>
      <c r="Z1698" s="121"/>
      <c r="AA1698" s="121"/>
      <c r="AB1698" s="121"/>
    </row>
    <row r="1699" spans="2:29" ht="13.5" customHeight="1">
      <c r="B1699" s="100"/>
      <c r="C1699" s="121"/>
      <c r="D1699" s="121"/>
      <c r="E1699" s="121"/>
      <c r="F1699" s="121"/>
      <c r="G1699" s="121"/>
      <c r="H1699" s="121"/>
      <c r="I1699" s="121"/>
      <c r="J1699" s="121"/>
      <c r="K1699" s="121"/>
      <c r="L1699" s="121"/>
      <c r="M1699" s="121"/>
      <c r="N1699" s="121"/>
      <c r="O1699" s="121"/>
      <c r="P1699" s="121"/>
      <c r="Q1699" s="121"/>
      <c r="R1699" s="121"/>
      <c r="S1699" s="121"/>
      <c r="T1699" s="121"/>
      <c r="U1699" s="121"/>
      <c r="V1699" s="121"/>
      <c r="W1699" s="121"/>
      <c r="X1699" s="121"/>
      <c r="Y1699" s="121"/>
      <c r="Z1699" s="121"/>
      <c r="AA1699" s="121"/>
      <c r="AB1699" s="121"/>
    </row>
    <row r="1700" spans="2:29" ht="13.5" customHeight="1">
      <c r="B1700" s="98" t="s">
        <v>55</v>
      </c>
      <c r="C1700" s="121"/>
      <c r="D1700" s="121"/>
      <c r="E1700" s="121"/>
      <c r="F1700" s="121"/>
      <c r="G1700" s="121"/>
      <c r="H1700" s="121"/>
      <c r="I1700" s="121"/>
      <c r="J1700" s="121"/>
      <c r="K1700" s="121"/>
      <c r="L1700" s="121"/>
      <c r="M1700" s="121"/>
      <c r="N1700" s="121"/>
      <c r="O1700" s="121"/>
      <c r="P1700" s="121"/>
      <c r="Q1700" s="121"/>
      <c r="R1700" s="121"/>
      <c r="S1700" s="121"/>
      <c r="T1700" s="121"/>
      <c r="U1700" s="121"/>
      <c r="V1700" s="121"/>
      <c r="W1700" s="121"/>
      <c r="X1700" s="121"/>
      <c r="Y1700" s="121"/>
      <c r="Z1700" s="121"/>
      <c r="AA1700" s="121"/>
      <c r="AB1700" s="121"/>
      <c r="AC1700" s="37">
        <f>AC1691+1</f>
        <v>189</v>
      </c>
    </row>
    <row r="1701" spans="2:29" ht="13.5" customHeight="1">
      <c r="B1701" s="99">
        <f>INDEX(QSGR!$B$16:$B$1570,AC1700)</f>
        <v>0</v>
      </c>
      <c r="C1701" s="121"/>
      <c r="D1701" s="121"/>
      <c r="E1701" s="97">
        <f>INDEX(QSGR!$D$16:$D$11170,AC1700)</f>
        <v>0</v>
      </c>
      <c r="F1701" s="121"/>
      <c r="G1701" s="121"/>
      <c r="H1701" s="121"/>
      <c r="I1701" s="121"/>
      <c r="J1701" s="121"/>
      <c r="K1701" s="121"/>
      <c r="L1701" s="121"/>
      <c r="M1701" s="121"/>
      <c r="N1701" s="121"/>
      <c r="O1701" s="121"/>
      <c r="P1701" s="121"/>
      <c r="Q1701" s="121"/>
      <c r="R1701" s="121"/>
      <c r="S1701" s="121"/>
      <c r="T1701" s="121"/>
      <c r="U1701" s="121"/>
      <c r="V1701" s="121"/>
      <c r="W1701" s="121"/>
      <c r="X1701" s="121"/>
      <c r="Y1701" s="121"/>
      <c r="Z1701" s="121"/>
      <c r="AA1701" s="121"/>
      <c r="AB1701" s="121"/>
    </row>
    <row r="1702" spans="2:29" ht="13.5" customHeight="1">
      <c r="B1702" s="96" t="str">
        <f>CONCATENATE("- Evento: ",INFO!$B$22)</f>
        <v>- Evento: PARTICIPAR DA OPERAÇÃO HORUS.</v>
      </c>
      <c r="C1702" s="121"/>
      <c r="D1702" s="121"/>
      <c r="E1702" s="121"/>
      <c r="F1702" s="121"/>
      <c r="G1702" s="121"/>
      <c r="H1702" s="121"/>
      <c r="I1702" s="121"/>
      <c r="J1702" s="121"/>
      <c r="K1702" s="121"/>
      <c r="L1702" s="121"/>
      <c r="M1702" s="121"/>
      <c r="N1702" s="121"/>
      <c r="O1702" s="121"/>
      <c r="P1702" s="121"/>
      <c r="Q1702" s="121"/>
      <c r="R1702" s="121"/>
      <c r="S1702" s="121"/>
      <c r="T1702" s="121"/>
      <c r="U1702" s="121"/>
      <c r="V1702" s="121"/>
      <c r="W1702" s="121"/>
      <c r="X1702" s="121"/>
      <c r="Y1702" s="121"/>
      <c r="Z1702" s="121"/>
      <c r="AA1702" s="121"/>
      <c r="AB1702" s="121"/>
    </row>
    <row r="1703" spans="2:29" ht="13.5" customHeight="1">
      <c r="B1703" s="98" t="str">
        <f>CONCATENATE("- Documento de Solicitação: ",INFO!$B$24)</f>
        <v>- Documento de Solicitação: TESTE AZUL</v>
      </c>
      <c r="C1703" s="121"/>
      <c r="D1703" s="121"/>
      <c r="E1703" s="121"/>
      <c r="F1703" s="121"/>
      <c r="G1703" s="121"/>
      <c r="H1703" s="121"/>
      <c r="I1703" s="121"/>
      <c r="J1703" s="121"/>
      <c r="K1703" s="121"/>
      <c r="L1703" s="121"/>
      <c r="M1703" s="121"/>
      <c r="N1703" s="121"/>
      <c r="O1703" s="121"/>
      <c r="P1703" s="121"/>
      <c r="Q1703" s="121"/>
      <c r="R1703" s="121"/>
      <c r="S1703" s="121"/>
      <c r="T1703" s="121"/>
      <c r="U1703" s="121"/>
      <c r="V1703" s="121"/>
      <c r="W1703" s="121"/>
      <c r="X1703" s="121"/>
      <c r="Y1703" s="121"/>
      <c r="Z1703" s="121"/>
      <c r="AA1703" s="121"/>
      <c r="AB1703" s="121"/>
    </row>
    <row r="1704" spans="2:29" ht="13.5" customHeight="1">
      <c r="B1704" s="98" t="str">
        <f>CONCATENATE("- Local: ",INFO!$C$18)</f>
        <v>- Local: GUAIRA - PR</v>
      </c>
      <c r="C1704" s="121"/>
      <c r="D1704" s="121"/>
      <c r="E1704" s="121"/>
      <c r="F1704" s="121"/>
      <c r="G1704" s="121"/>
      <c r="H1704" s="121"/>
      <c r="I1704" s="121"/>
      <c r="J1704" s="121"/>
      <c r="K1704" s="121"/>
      <c r="L1704" s="121"/>
      <c r="M1704" s="121"/>
      <c r="N1704" s="121"/>
      <c r="O1704" s="121"/>
      <c r="P1704" s="121"/>
      <c r="Q1704" s="121"/>
      <c r="R1704" s="121"/>
      <c r="S1704" s="121"/>
      <c r="T1704" s="121"/>
      <c r="U1704" s="121"/>
      <c r="V1704" s="121"/>
      <c r="W1704" s="121"/>
      <c r="X1704" s="121"/>
      <c r="Y1704" s="121"/>
      <c r="Z1704" s="121"/>
      <c r="AA1704" s="121"/>
      <c r="AB1704" s="121"/>
    </row>
    <row r="1705" spans="2:29" ht="13.5" customHeight="1">
      <c r="B1705" s="98" t="str">
        <f>CONCATENATE("- Periodo: ",INFO!$C$10," a ",INFO!$C$19)</f>
        <v xml:space="preserve">- Periodo: 22/7/2025  a 23/8/2025 </v>
      </c>
      <c r="C1705" s="121"/>
      <c r="D1705" s="121"/>
      <c r="E1705" s="121"/>
      <c r="F1705" s="121"/>
      <c r="G1705" s="121"/>
      <c r="H1705" s="121"/>
      <c r="I1705" s="121"/>
      <c r="J1705" s="121"/>
      <c r="K1705" s="121"/>
      <c r="L1705" s="121"/>
      <c r="M1705" s="121"/>
      <c r="N1705" s="121"/>
      <c r="O1705" s="121"/>
      <c r="P1705" s="121"/>
      <c r="Q1705" s="121"/>
      <c r="R1705" s="121"/>
      <c r="S1705" s="121"/>
      <c r="T1705" s="121"/>
      <c r="U1705" s="121"/>
      <c r="V1705" s="121"/>
      <c r="W1705" s="121"/>
      <c r="X1705" s="121"/>
      <c r="Y1705" s="121"/>
      <c r="Z1705" s="121"/>
      <c r="AA1705" s="121"/>
      <c r="AB1705" s="121"/>
    </row>
    <row r="1706" spans="2:29" ht="13.5" customHeight="1">
      <c r="B1706" s="98" t="str">
        <f>CONCATENATE("- Nr Dias: ",INFO!$C$20)</f>
        <v>- Nr Dias: 33</v>
      </c>
      <c r="C1706" s="121"/>
      <c r="D1706" s="121"/>
      <c r="E1706" s="121"/>
      <c r="F1706" s="121"/>
      <c r="G1706" s="121"/>
      <c r="H1706" s="121"/>
      <c r="I1706" s="121"/>
      <c r="J1706" s="121"/>
      <c r="K1706" s="121"/>
      <c r="L1706" s="121"/>
      <c r="M1706" s="121"/>
      <c r="N1706" s="121"/>
      <c r="O1706" s="121"/>
      <c r="P1706" s="121"/>
      <c r="Q1706" s="121"/>
      <c r="R1706" s="121"/>
      <c r="S1706" s="121"/>
      <c r="T1706" s="121"/>
      <c r="U1706" s="121"/>
      <c r="V1706" s="121"/>
      <c r="W1706" s="121"/>
      <c r="X1706" s="121"/>
      <c r="Y1706" s="121"/>
      <c r="Z1706" s="121"/>
      <c r="AA1706" s="121"/>
      <c r="AB1706" s="121"/>
    </row>
    <row r="1707" spans="2:29" ht="13.5" customHeight="1">
      <c r="B1707" s="98" t="str">
        <f>CONCATENATE("- Valor Estimado: R$ ",INDEX(QSGR!$J$16:$J$11170,AC1700))</f>
        <v xml:space="preserve">- Valor Estimado: R$ </v>
      </c>
      <c r="C1707" s="121"/>
      <c r="D1707" s="121"/>
      <c r="E1707" s="121"/>
      <c r="F1707" s="121"/>
      <c r="G1707" s="121"/>
      <c r="H1707" s="121"/>
      <c r="I1707" s="121"/>
      <c r="J1707" s="121"/>
      <c r="K1707" s="121"/>
      <c r="L1707" s="121"/>
      <c r="M1707" s="121"/>
      <c r="N1707" s="121"/>
      <c r="O1707" s="121"/>
      <c r="P1707" s="121"/>
      <c r="Q1707" s="121"/>
      <c r="R1707" s="121"/>
      <c r="S1707" s="121"/>
      <c r="T1707" s="121"/>
      <c r="U1707" s="121"/>
      <c r="V1707" s="121"/>
      <c r="W1707" s="121"/>
      <c r="X1707" s="121"/>
      <c r="Y1707" s="121"/>
      <c r="Z1707" s="121"/>
      <c r="AA1707" s="121"/>
      <c r="AB1707" s="121"/>
    </row>
    <row r="1708" spans="2:29" ht="13.5" customHeight="1">
      <c r="B1708" s="100"/>
      <c r="C1708" s="121"/>
      <c r="D1708" s="121"/>
      <c r="E1708" s="121"/>
      <c r="F1708" s="121"/>
      <c r="G1708" s="121"/>
      <c r="H1708" s="121"/>
      <c r="I1708" s="121"/>
      <c r="J1708" s="121"/>
      <c r="K1708" s="121"/>
      <c r="L1708" s="121"/>
      <c r="M1708" s="121"/>
      <c r="N1708" s="121"/>
      <c r="O1708" s="121"/>
      <c r="P1708" s="121"/>
      <c r="Q1708" s="121"/>
      <c r="R1708" s="121"/>
      <c r="S1708" s="121"/>
      <c r="T1708" s="121"/>
      <c r="U1708" s="121"/>
      <c r="V1708" s="121"/>
      <c r="W1708" s="121"/>
      <c r="X1708" s="121"/>
      <c r="Y1708" s="121"/>
      <c r="Z1708" s="121"/>
      <c r="AA1708" s="121"/>
      <c r="AB1708" s="121"/>
    </row>
    <row r="1709" spans="2:29" ht="13.5" customHeight="1">
      <c r="B1709" s="98" t="s">
        <v>55</v>
      </c>
      <c r="C1709" s="121"/>
      <c r="D1709" s="121"/>
      <c r="E1709" s="121"/>
      <c r="F1709" s="121"/>
      <c r="G1709" s="121"/>
      <c r="H1709" s="121"/>
      <c r="I1709" s="121"/>
      <c r="J1709" s="121"/>
      <c r="K1709" s="121"/>
      <c r="L1709" s="121"/>
      <c r="M1709" s="121"/>
      <c r="N1709" s="121"/>
      <c r="O1709" s="121"/>
      <c r="P1709" s="121"/>
      <c r="Q1709" s="121"/>
      <c r="R1709" s="121"/>
      <c r="S1709" s="121"/>
      <c r="T1709" s="121"/>
      <c r="U1709" s="121"/>
      <c r="V1709" s="121"/>
      <c r="W1709" s="121"/>
      <c r="X1709" s="121"/>
      <c r="Y1709" s="121"/>
      <c r="Z1709" s="121"/>
      <c r="AA1709" s="121"/>
      <c r="AB1709" s="121"/>
      <c r="AC1709" s="37">
        <f>AC1700+1</f>
        <v>190</v>
      </c>
    </row>
    <row r="1710" spans="2:29" ht="13.5" customHeight="1">
      <c r="B1710" s="99">
        <f>INDEX(QSGR!$B$16:$B$1570,AC1709)</f>
        <v>0</v>
      </c>
      <c r="C1710" s="121"/>
      <c r="D1710" s="121"/>
      <c r="E1710" s="97">
        <f>INDEX(QSGR!$D$16:$D$11170,AC1709)</f>
        <v>0</v>
      </c>
      <c r="F1710" s="121"/>
      <c r="G1710" s="121"/>
      <c r="H1710" s="121"/>
      <c r="I1710" s="121"/>
      <c r="J1710" s="121"/>
      <c r="K1710" s="121"/>
      <c r="L1710" s="121"/>
      <c r="M1710" s="121"/>
      <c r="N1710" s="121"/>
      <c r="O1710" s="121"/>
      <c r="P1710" s="121"/>
      <c r="Q1710" s="121"/>
      <c r="R1710" s="121"/>
      <c r="S1710" s="121"/>
      <c r="T1710" s="121"/>
      <c r="U1710" s="121"/>
      <c r="V1710" s="121"/>
      <c r="W1710" s="121"/>
      <c r="X1710" s="121"/>
      <c r="Y1710" s="121"/>
      <c r="Z1710" s="121"/>
      <c r="AA1710" s="121"/>
      <c r="AB1710" s="121"/>
    </row>
    <row r="1711" spans="2:29" ht="13.5" customHeight="1">
      <c r="B1711" s="96" t="str">
        <f>CONCATENATE("- Evento: ",INFO!$B$22)</f>
        <v>- Evento: PARTICIPAR DA OPERAÇÃO HORUS.</v>
      </c>
      <c r="C1711" s="121"/>
      <c r="D1711" s="121"/>
      <c r="E1711" s="121"/>
      <c r="F1711" s="121"/>
      <c r="G1711" s="121"/>
      <c r="H1711" s="121"/>
      <c r="I1711" s="121"/>
      <c r="J1711" s="121"/>
      <c r="K1711" s="121"/>
      <c r="L1711" s="121"/>
      <c r="M1711" s="121"/>
      <c r="N1711" s="121"/>
      <c r="O1711" s="121"/>
      <c r="P1711" s="121"/>
      <c r="Q1711" s="121"/>
      <c r="R1711" s="121"/>
      <c r="S1711" s="121"/>
      <c r="T1711" s="121"/>
      <c r="U1711" s="121"/>
      <c r="V1711" s="121"/>
      <c r="W1711" s="121"/>
      <c r="X1711" s="121"/>
      <c r="Y1711" s="121"/>
      <c r="Z1711" s="121"/>
      <c r="AA1711" s="121"/>
      <c r="AB1711" s="121"/>
    </row>
    <row r="1712" spans="2:29" ht="13.5" customHeight="1">
      <c r="B1712" s="98" t="str">
        <f>CONCATENATE("- Documento de Solicitação: ",INFO!$B$24)</f>
        <v>- Documento de Solicitação: TESTE AZUL</v>
      </c>
      <c r="C1712" s="121"/>
      <c r="D1712" s="121"/>
      <c r="E1712" s="121"/>
      <c r="F1712" s="121"/>
      <c r="G1712" s="121"/>
      <c r="H1712" s="121"/>
      <c r="I1712" s="121"/>
      <c r="J1712" s="121"/>
      <c r="K1712" s="121"/>
      <c r="L1712" s="121"/>
      <c r="M1712" s="121"/>
      <c r="N1712" s="121"/>
      <c r="O1712" s="121"/>
      <c r="P1712" s="121"/>
      <c r="Q1712" s="121"/>
      <c r="R1712" s="121"/>
      <c r="S1712" s="121"/>
      <c r="T1712" s="121"/>
      <c r="U1712" s="121"/>
      <c r="V1712" s="121"/>
      <c r="W1712" s="121"/>
      <c r="X1712" s="121"/>
      <c r="Y1712" s="121"/>
      <c r="Z1712" s="121"/>
      <c r="AA1712" s="121"/>
      <c r="AB1712" s="121"/>
    </row>
    <row r="1713" spans="2:29" ht="13.5" customHeight="1">
      <c r="B1713" s="98" t="str">
        <f>CONCATENATE("- Local: ",INFO!$C$18)</f>
        <v>- Local: GUAIRA - PR</v>
      </c>
      <c r="C1713" s="121"/>
      <c r="D1713" s="121"/>
      <c r="E1713" s="121"/>
      <c r="F1713" s="121"/>
      <c r="G1713" s="121"/>
      <c r="H1713" s="121"/>
      <c r="I1713" s="121"/>
      <c r="J1713" s="121"/>
      <c r="K1713" s="121"/>
      <c r="L1713" s="121"/>
      <c r="M1713" s="121"/>
      <c r="N1713" s="121"/>
      <c r="O1713" s="121"/>
      <c r="P1713" s="121"/>
      <c r="Q1713" s="121"/>
      <c r="R1713" s="121"/>
      <c r="S1713" s="121"/>
      <c r="T1713" s="121"/>
      <c r="U1713" s="121"/>
      <c r="V1713" s="121"/>
      <c r="W1713" s="121"/>
      <c r="X1713" s="121"/>
      <c r="Y1713" s="121"/>
      <c r="Z1713" s="121"/>
      <c r="AA1713" s="121"/>
      <c r="AB1713" s="121"/>
    </row>
    <row r="1714" spans="2:29" ht="13.5" customHeight="1">
      <c r="B1714" s="98" t="str">
        <f>CONCATENATE("- Periodo: ",INFO!$C$10," a ",INFO!$C$19)</f>
        <v xml:space="preserve">- Periodo: 22/7/2025  a 23/8/2025 </v>
      </c>
      <c r="C1714" s="121"/>
      <c r="D1714" s="121"/>
      <c r="E1714" s="121"/>
      <c r="F1714" s="121"/>
      <c r="G1714" s="121"/>
      <c r="H1714" s="121"/>
      <c r="I1714" s="121"/>
      <c r="J1714" s="121"/>
      <c r="K1714" s="121"/>
      <c r="L1714" s="121"/>
      <c r="M1714" s="121"/>
      <c r="N1714" s="121"/>
      <c r="O1714" s="121"/>
      <c r="P1714" s="121"/>
      <c r="Q1714" s="121"/>
      <c r="R1714" s="121"/>
      <c r="S1714" s="121"/>
      <c r="T1714" s="121"/>
      <c r="U1714" s="121"/>
      <c r="V1714" s="121"/>
      <c r="W1714" s="121"/>
      <c r="X1714" s="121"/>
      <c r="Y1714" s="121"/>
      <c r="Z1714" s="121"/>
      <c r="AA1714" s="121"/>
      <c r="AB1714" s="121"/>
    </row>
    <row r="1715" spans="2:29" ht="13.5" customHeight="1">
      <c r="B1715" s="98" t="str">
        <f>CONCATENATE("- Nr Dias: ",INFO!$C$20)</f>
        <v>- Nr Dias: 33</v>
      </c>
      <c r="C1715" s="121"/>
      <c r="D1715" s="121"/>
      <c r="E1715" s="121"/>
      <c r="F1715" s="121"/>
      <c r="G1715" s="121"/>
      <c r="H1715" s="121"/>
      <c r="I1715" s="121"/>
      <c r="J1715" s="121"/>
      <c r="K1715" s="121"/>
      <c r="L1715" s="121"/>
      <c r="M1715" s="121"/>
      <c r="N1715" s="121"/>
      <c r="O1715" s="121"/>
      <c r="P1715" s="121"/>
      <c r="Q1715" s="121"/>
      <c r="R1715" s="121"/>
      <c r="S1715" s="121"/>
      <c r="T1715" s="121"/>
      <c r="U1715" s="121"/>
      <c r="V1715" s="121"/>
      <c r="W1715" s="121"/>
      <c r="X1715" s="121"/>
      <c r="Y1715" s="121"/>
      <c r="Z1715" s="121"/>
      <c r="AA1715" s="121"/>
      <c r="AB1715" s="121"/>
    </row>
    <row r="1716" spans="2:29" ht="13.5" customHeight="1">
      <c r="B1716" s="98" t="str">
        <f>CONCATENATE("- Valor Estimado: R$ ",INDEX(QSGR!$J$16:$J$11170,AC1709))</f>
        <v xml:space="preserve">- Valor Estimado: R$ </v>
      </c>
      <c r="C1716" s="121"/>
      <c r="D1716" s="121"/>
      <c r="E1716" s="121"/>
      <c r="F1716" s="121"/>
      <c r="G1716" s="121"/>
      <c r="H1716" s="121"/>
      <c r="I1716" s="121"/>
      <c r="J1716" s="121"/>
      <c r="K1716" s="121"/>
      <c r="L1716" s="121"/>
      <c r="M1716" s="121"/>
      <c r="N1716" s="121"/>
      <c r="O1716" s="121"/>
      <c r="P1716" s="121"/>
      <c r="Q1716" s="121"/>
      <c r="R1716" s="121"/>
      <c r="S1716" s="121"/>
      <c r="T1716" s="121"/>
      <c r="U1716" s="121"/>
      <c r="V1716" s="121"/>
      <c r="W1716" s="121"/>
      <c r="X1716" s="121"/>
      <c r="Y1716" s="121"/>
      <c r="Z1716" s="121"/>
      <c r="AA1716" s="121"/>
      <c r="AB1716" s="121"/>
    </row>
    <row r="1717" spans="2:29" ht="13.5" customHeight="1">
      <c r="B1717" s="100"/>
      <c r="C1717" s="121"/>
      <c r="D1717" s="121"/>
      <c r="E1717" s="121"/>
      <c r="F1717" s="121"/>
      <c r="G1717" s="121"/>
      <c r="H1717" s="121"/>
      <c r="I1717" s="121"/>
      <c r="J1717" s="121"/>
      <c r="K1717" s="121"/>
      <c r="L1717" s="121"/>
      <c r="M1717" s="121"/>
      <c r="N1717" s="121"/>
      <c r="O1717" s="121"/>
      <c r="P1717" s="121"/>
      <c r="Q1717" s="121"/>
      <c r="R1717" s="121"/>
      <c r="S1717" s="121"/>
      <c r="T1717" s="121"/>
      <c r="U1717" s="121"/>
      <c r="V1717" s="121"/>
      <c r="W1717" s="121"/>
      <c r="X1717" s="121"/>
      <c r="Y1717" s="121"/>
      <c r="Z1717" s="121"/>
      <c r="AA1717" s="121"/>
      <c r="AB1717" s="121"/>
    </row>
    <row r="1718" spans="2:29" ht="13.5" customHeight="1">
      <c r="B1718" s="98" t="s">
        <v>55</v>
      </c>
      <c r="C1718" s="121"/>
      <c r="D1718" s="121"/>
      <c r="E1718" s="121"/>
      <c r="F1718" s="121"/>
      <c r="G1718" s="121"/>
      <c r="H1718" s="121"/>
      <c r="I1718" s="121"/>
      <c r="J1718" s="121"/>
      <c r="K1718" s="121"/>
      <c r="L1718" s="121"/>
      <c r="M1718" s="121"/>
      <c r="N1718" s="121"/>
      <c r="O1718" s="121"/>
      <c r="P1718" s="121"/>
      <c r="Q1718" s="121"/>
      <c r="R1718" s="121"/>
      <c r="S1718" s="121"/>
      <c r="T1718" s="121"/>
      <c r="U1718" s="121"/>
      <c r="V1718" s="121"/>
      <c r="W1718" s="121"/>
      <c r="X1718" s="121"/>
      <c r="Y1718" s="121"/>
      <c r="Z1718" s="121"/>
      <c r="AA1718" s="121"/>
      <c r="AB1718" s="121"/>
      <c r="AC1718" s="37">
        <f>AC1709+1</f>
        <v>191</v>
      </c>
    </row>
    <row r="1719" spans="2:29" ht="13.5" customHeight="1">
      <c r="B1719" s="99">
        <f>INDEX(QSGR!$B$16:$B$1570,AC1718)</f>
        <v>0</v>
      </c>
      <c r="C1719" s="121"/>
      <c r="D1719" s="121"/>
      <c r="E1719" s="97">
        <f>INDEX(QSGR!$D$16:$D$11170,AC1718)</f>
        <v>0</v>
      </c>
      <c r="F1719" s="121"/>
      <c r="G1719" s="121"/>
      <c r="H1719" s="121"/>
      <c r="I1719" s="121"/>
      <c r="J1719" s="121"/>
      <c r="K1719" s="121"/>
      <c r="L1719" s="121"/>
      <c r="M1719" s="121"/>
      <c r="N1719" s="121"/>
      <c r="O1719" s="121"/>
      <c r="P1719" s="121"/>
      <c r="Q1719" s="121"/>
      <c r="R1719" s="121"/>
      <c r="S1719" s="121"/>
      <c r="T1719" s="121"/>
      <c r="U1719" s="121"/>
      <c r="V1719" s="121"/>
      <c r="W1719" s="121"/>
      <c r="X1719" s="121"/>
      <c r="Y1719" s="121"/>
      <c r="Z1719" s="121"/>
      <c r="AA1719" s="121"/>
      <c r="AB1719" s="121"/>
    </row>
    <row r="1720" spans="2:29" ht="13.5" customHeight="1">
      <c r="B1720" s="96" t="str">
        <f>CONCATENATE("- Evento: ",INFO!$B$22)</f>
        <v>- Evento: PARTICIPAR DA OPERAÇÃO HORUS.</v>
      </c>
      <c r="C1720" s="121"/>
      <c r="D1720" s="121"/>
      <c r="E1720" s="121"/>
      <c r="F1720" s="121"/>
      <c r="G1720" s="121"/>
      <c r="H1720" s="121"/>
      <c r="I1720" s="121"/>
      <c r="J1720" s="121"/>
      <c r="K1720" s="121"/>
      <c r="L1720" s="121"/>
      <c r="M1720" s="121"/>
      <c r="N1720" s="121"/>
      <c r="O1720" s="121"/>
      <c r="P1720" s="121"/>
      <c r="Q1720" s="121"/>
      <c r="R1720" s="121"/>
      <c r="S1720" s="121"/>
      <c r="T1720" s="121"/>
      <c r="U1720" s="121"/>
      <c r="V1720" s="121"/>
      <c r="W1720" s="121"/>
      <c r="X1720" s="121"/>
      <c r="Y1720" s="121"/>
      <c r="Z1720" s="121"/>
      <c r="AA1720" s="121"/>
      <c r="AB1720" s="121"/>
    </row>
    <row r="1721" spans="2:29" ht="13.5" customHeight="1">
      <c r="B1721" s="98" t="str">
        <f>CONCATENATE("- Documento de Solicitação: ",INFO!$B$24)</f>
        <v>- Documento de Solicitação: TESTE AZUL</v>
      </c>
      <c r="C1721" s="121"/>
      <c r="D1721" s="121"/>
      <c r="E1721" s="121"/>
      <c r="F1721" s="121"/>
      <c r="G1721" s="121"/>
      <c r="H1721" s="121"/>
      <c r="I1721" s="121"/>
      <c r="J1721" s="121"/>
      <c r="K1721" s="121"/>
      <c r="L1721" s="121"/>
      <c r="M1721" s="121"/>
      <c r="N1721" s="121"/>
      <c r="O1721" s="121"/>
      <c r="P1721" s="121"/>
      <c r="Q1721" s="121"/>
      <c r="R1721" s="121"/>
      <c r="S1721" s="121"/>
      <c r="T1721" s="121"/>
      <c r="U1721" s="121"/>
      <c r="V1721" s="121"/>
      <c r="W1721" s="121"/>
      <c r="X1721" s="121"/>
      <c r="Y1721" s="121"/>
      <c r="Z1721" s="121"/>
      <c r="AA1721" s="121"/>
      <c r="AB1721" s="121"/>
    </row>
    <row r="1722" spans="2:29" ht="13.5" customHeight="1">
      <c r="B1722" s="98" t="str">
        <f>CONCATENATE("- Local: ",INFO!$C$18)</f>
        <v>- Local: GUAIRA - PR</v>
      </c>
      <c r="C1722" s="121"/>
      <c r="D1722" s="121"/>
      <c r="E1722" s="121"/>
      <c r="F1722" s="121"/>
      <c r="G1722" s="121"/>
      <c r="H1722" s="121"/>
      <c r="I1722" s="121"/>
      <c r="J1722" s="121"/>
      <c r="K1722" s="121"/>
      <c r="L1722" s="121"/>
      <c r="M1722" s="121"/>
      <c r="N1722" s="121"/>
      <c r="O1722" s="121"/>
      <c r="P1722" s="121"/>
      <c r="Q1722" s="121"/>
      <c r="R1722" s="121"/>
      <c r="S1722" s="121"/>
      <c r="T1722" s="121"/>
      <c r="U1722" s="121"/>
      <c r="V1722" s="121"/>
      <c r="W1722" s="121"/>
      <c r="X1722" s="121"/>
      <c r="Y1722" s="121"/>
      <c r="Z1722" s="121"/>
      <c r="AA1722" s="121"/>
      <c r="AB1722" s="121"/>
    </row>
    <row r="1723" spans="2:29" ht="13.5" customHeight="1">
      <c r="B1723" s="98" t="str">
        <f>CONCATENATE("- Periodo: ",INFO!$C$10," a ",INFO!$C$19)</f>
        <v xml:space="preserve">- Periodo: 22/7/2025  a 23/8/2025 </v>
      </c>
      <c r="C1723" s="121"/>
      <c r="D1723" s="121"/>
      <c r="E1723" s="121"/>
      <c r="F1723" s="121"/>
      <c r="G1723" s="121"/>
      <c r="H1723" s="121"/>
      <c r="I1723" s="121"/>
      <c r="J1723" s="121"/>
      <c r="K1723" s="121"/>
      <c r="L1723" s="121"/>
      <c r="M1723" s="121"/>
      <c r="N1723" s="121"/>
      <c r="O1723" s="121"/>
      <c r="P1723" s="121"/>
      <c r="Q1723" s="121"/>
      <c r="R1723" s="121"/>
      <c r="S1723" s="121"/>
      <c r="T1723" s="121"/>
      <c r="U1723" s="121"/>
      <c r="V1723" s="121"/>
      <c r="W1723" s="121"/>
      <c r="X1723" s="121"/>
      <c r="Y1723" s="121"/>
      <c r="Z1723" s="121"/>
      <c r="AA1723" s="121"/>
      <c r="AB1723" s="121"/>
    </row>
    <row r="1724" spans="2:29" ht="13.5" customHeight="1">
      <c r="B1724" s="98" t="str">
        <f>CONCATENATE("- Nr Dias: ",INFO!$C$20)</f>
        <v>- Nr Dias: 33</v>
      </c>
      <c r="C1724" s="121"/>
      <c r="D1724" s="121"/>
      <c r="E1724" s="121"/>
      <c r="F1724" s="121"/>
      <c r="G1724" s="121"/>
      <c r="H1724" s="121"/>
      <c r="I1724" s="121"/>
      <c r="J1724" s="121"/>
      <c r="K1724" s="121"/>
      <c r="L1724" s="121"/>
      <c r="M1724" s="121"/>
      <c r="N1724" s="121"/>
      <c r="O1724" s="121"/>
      <c r="P1724" s="121"/>
      <c r="Q1724" s="121"/>
      <c r="R1724" s="121"/>
      <c r="S1724" s="121"/>
      <c r="T1724" s="121"/>
      <c r="U1724" s="121"/>
      <c r="V1724" s="121"/>
      <c r="W1724" s="121"/>
      <c r="X1724" s="121"/>
      <c r="Y1724" s="121"/>
      <c r="Z1724" s="121"/>
      <c r="AA1724" s="121"/>
      <c r="AB1724" s="121"/>
    </row>
    <row r="1725" spans="2:29" ht="13.5" customHeight="1">
      <c r="B1725" s="98" t="str">
        <f>CONCATENATE("- Valor Estimado: R$ ",INDEX(QSGR!$J$16:$J$11170,AC1718))</f>
        <v xml:space="preserve">- Valor Estimado: R$ </v>
      </c>
      <c r="C1725" s="121"/>
      <c r="D1725" s="121"/>
      <c r="E1725" s="121"/>
      <c r="F1725" s="121"/>
      <c r="G1725" s="121"/>
      <c r="H1725" s="121"/>
      <c r="I1725" s="121"/>
      <c r="J1725" s="121"/>
      <c r="K1725" s="121"/>
      <c r="L1725" s="121"/>
      <c r="M1725" s="121"/>
      <c r="N1725" s="121"/>
      <c r="O1725" s="121"/>
      <c r="P1725" s="121"/>
      <c r="Q1725" s="121"/>
      <c r="R1725" s="121"/>
      <c r="S1725" s="121"/>
      <c r="T1725" s="121"/>
      <c r="U1725" s="121"/>
      <c r="V1725" s="121"/>
      <c r="W1725" s="121"/>
      <c r="X1725" s="121"/>
      <c r="Y1725" s="121"/>
      <c r="Z1725" s="121"/>
      <c r="AA1725" s="121"/>
      <c r="AB1725" s="121"/>
    </row>
    <row r="1726" spans="2:29" ht="13.5" customHeight="1">
      <c r="B1726" s="100"/>
      <c r="C1726" s="121"/>
      <c r="D1726" s="121"/>
      <c r="E1726" s="121"/>
      <c r="F1726" s="121"/>
      <c r="G1726" s="121"/>
      <c r="H1726" s="121"/>
      <c r="I1726" s="121"/>
      <c r="J1726" s="121"/>
      <c r="K1726" s="121"/>
      <c r="L1726" s="121"/>
      <c r="M1726" s="121"/>
      <c r="N1726" s="121"/>
      <c r="O1726" s="121"/>
      <c r="P1726" s="121"/>
      <c r="Q1726" s="121"/>
      <c r="R1726" s="121"/>
      <c r="S1726" s="121"/>
      <c r="T1726" s="121"/>
      <c r="U1726" s="121"/>
      <c r="V1726" s="121"/>
      <c r="W1726" s="121"/>
      <c r="X1726" s="121"/>
      <c r="Y1726" s="121"/>
      <c r="Z1726" s="121"/>
      <c r="AA1726" s="121"/>
      <c r="AB1726" s="121"/>
    </row>
    <row r="1727" spans="2:29" ht="13.5" customHeight="1">
      <c r="B1727" s="98" t="s">
        <v>55</v>
      </c>
      <c r="C1727" s="121"/>
      <c r="D1727" s="121"/>
      <c r="E1727" s="121"/>
      <c r="F1727" s="121"/>
      <c r="G1727" s="121"/>
      <c r="H1727" s="121"/>
      <c r="I1727" s="121"/>
      <c r="J1727" s="121"/>
      <c r="K1727" s="121"/>
      <c r="L1727" s="121"/>
      <c r="M1727" s="121"/>
      <c r="N1727" s="121"/>
      <c r="O1727" s="121"/>
      <c r="P1727" s="121"/>
      <c r="Q1727" s="121"/>
      <c r="R1727" s="121"/>
      <c r="S1727" s="121"/>
      <c r="T1727" s="121"/>
      <c r="U1727" s="121"/>
      <c r="V1727" s="121"/>
      <c r="W1727" s="121"/>
      <c r="X1727" s="121"/>
      <c r="Y1727" s="121"/>
      <c r="Z1727" s="121"/>
      <c r="AA1727" s="121"/>
      <c r="AB1727" s="121"/>
      <c r="AC1727" s="37">
        <f>AC1718+1</f>
        <v>192</v>
      </c>
    </row>
    <row r="1728" spans="2:29" ht="13.5" customHeight="1">
      <c r="B1728" s="99">
        <f>INDEX(QSGR!$B$16:$B$1570,AC1727)</f>
        <v>0</v>
      </c>
      <c r="C1728" s="121"/>
      <c r="D1728" s="121"/>
      <c r="E1728" s="97">
        <f>INDEX(QSGR!$D$16:$D$11170,AC1727)</f>
        <v>0</v>
      </c>
      <c r="F1728" s="121"/>
      <c r="G1728" s="121"/>
      <c r="H1728" s="121"/>
      <c r="I1728" s="121"/>
      <c r="J1728" s="121"/>
      <c r="K1728" s="121"/>
      <c r="L1728" s="121"/>
      <c r="M1728" s="121"/>
      <c r="N1728" s="121"/>
      <c r="O1728" s="121"/>
      <c r="P1728" s="121"/>
      <c r="Q1728" s="121"/>
      <c r="R1728" s="121"/>
      <c r="S1728" s="121"/>
      <c r="T1728" s="121"/>
      <c r="U1728" s="121"/>
      <c r="V1728" s="121"/>
      <c r="W1728" s="121"/>
      <c r="X1728" s="121"/>
      <c r="Y1728" s="121"/>
      <c r="Z1728" s="121"/>
      <c r="AA1728" s="121"/>
      <c r="AB1728" s="121"/>
    </row>
    <row r="1729" spans="2:29" ht="13.5" customHeight="1">
      <c r="B1729" s="96" t="str">
        <f>CONCATENATE("- Evento: ",INFO!$B$22)</f>
        <v>- Evento: PARTICIPAR DA OPERAÇÃO HORUS.</v>
      </c>
      <c r="C1729" s="121"/>
      <c r="D1729" s="121"/>
      <c r="E1729" s="121"/>
      <c r="F1729" s="121"/>
      <c r="G1729" s="121"/>
      <c r="H1729" s="121"/>
      <c r="I1729" s="121"/>
      <c r="J1729" s="121"/>
      <c r="K1729" s="121"/>
      <c r="L1729" s="121"/>
      <c r="M1729" s="121"/>
      <c r="N1729" s="121"/>
      <c r="O1729" s="121"/>
      <c r="P1729" s="121"/>
      <c r="Q1729" s="121"/>
      <c r="R1729" s="121"/>
      <c r="S1729" s="121"/>
      <c r="T1729" s="121"/>
      <c r="U1729" s="121"/>
      <c r="V1729" s="121"/>
      <c r="W1729" s="121"/>
      <c r="X1729" s="121"/>
      <c r="Y1729" s="121"/>
      <c r="Z1729" s="121"/>
      <c r="AA1729" s="121"/>
      <c r="AB1729" s="121"/>
    </row>
    <row r="1730" spans="2:29" ht="13.5" customHeight="1">
      <c r="B1730" s="98" t="str">
        <f>CONCATENATE("- Documento de Solicitação: ",INFO!$B$24)</f>
        <v>- Documento de Solicitação: TESTE AZUL</v>
      </c>
      <c r="C1730" s="121"/>
      <c r="D1730" s="121"/>
      <c r="E1730" s="121"/>
      <c r="F1730" s="121"/>
      <c r="G1730" s="121"/>
      <c r="H1730" s="121"/>
      <c r="I1730" s="121"/>
      <c r="J1730" s="121"/>
      <c r="K1730" s="121"/>
      <c r="L1730" s="121"/>
      <c r="M1730" s="121"/>
      <c r="N1730" s="121"/>
      <c r="O1730" s="121"/>
      <c r="P1730" s="121"/>
      <c r="Q1730" s="121"/>
      <c r="R1730" s="121"/>
      <c r="S1730" s="121"/>
      <c r="T1730" s="121"/>
      <c r="U1730" s="121"/>
      <c r="V1730" s="121"/>
      <c r="W1730" s="121"/>
      <c r="X1730" s="121"/>
      <c r="Y1730" s="121"/>
      <c r="Z1730" s="121"/>
      <c r="AA1730" s="121"/>
      <c r="AB1730" s="121"/>
    </row>
    <row r="1731" spans="2:29" ht="13.5" customHeight="1">
      <c r="B1731" s="98" t="str">
        <f>CONCATENATE("- Local: ",INFO!$C$18)</f>
        <v>- Local: GUAIRA - PR</v>
      </c>
      <c r="C1731" s="121"/>
      <c r="D1731" s="121"/>
      <c r="E1731" s="121"/>
      <c r="F1731" s="121"/>
      <c r="G1731" s="121"/>
      <c r="H1731" s="121"/>
      <c r="I1731" s="121"/>
      <c r="J1731" s="121"/>
      <c r="K1731" s="121"/>
      <c r="L1731" s="121"/>
      <c r="M1731" s="121"/>
      <c r="N1731" s="121"/>
      <c r="O1731" s="121"/>
      <c r="P1731" s="121"/>
      <c r="Q1731" s="121"/>
      <c r="R1731" s="121"/>
      <c r="S1731" s="121"/>
      <c r="T1731" s="121"/>
      <c r="U1731" s="121"/>
      <c r="V1731" s="121"/>
      <c r="W1731" s="121"/>
      <c r="X1731" s="121"/>
      <c r="Y1731" s="121"/>
      <c r="Z1731" s="121"/>
      <c r="AA1731" s="121"/>
      <c r="AB1731" s="121"/>
    </row>
    <row r="1732" spans="2:29" ht="13.5" customHeight="1">
      <c r="B1732" s="98" t="str">
        <f>CONCATENATE("- Periodo: ",INFO!$C$10," a ",INFO!$C$19)</f>
        <v xml:space="preserve">- Periodo: 22/7/2025  a 23/8/2025 </v>
      </c>
      <c r="C1732" s="121"/>
      <c r="D1732" s="121"/>
      <c r="E1732" s="121"/>
      <c r="F1732" s="121"/>
      <c r="G1732" s="121"/>
      <c r="H1732" s="121"/>
      <c r="I1732" s="121"/>
      <c r="J1732" s="121"/>
      <c r="K1732" s="121"/>
      <c r="L1732" s="121"/>
      <c r="M1732" s="121"/>
      <c r="N1732" s="121"/>
      <c r="O1732" s="121"/>
      <c r="P1732" s="121"/>
      <c r="Q1732" s="121"/>
      <c r="R1732" s="121"/>
      <c r="S1732" s="121"/>
      <c r="T1732" s="121"/>
      <c r="U1732" s="121"/>
      <c r="V1732" s="121"/>
      <c r="W1732" s="121"/>
      <c r="X1732" s="121"/>
      <c r="Y1732" s="121"/>
      <c r="Z1732" s="121"/>
      <c r="AA1732" s="121"/>
      <c r="AB1732" s="121"/>
    </row>
    <row r="1733" spans="2:29" ht="13.5" customHeight="1">
      <c r="B1733" s="98" t="str">
        <f>CONCATENATE("- Nr Dias: ",INFO!$C$20)</f>
        <v>- Nr Dias: 33</v>
      </c>
      <c r="C1733" s="121"/>
      <c r="D1733" s="121"/>
      <c r="E1733" s="121"/>
      <c r="F1733" s="121"/>
      <c r="G1733" s="121"/>
      <c r="H1733" s="121"/>
      <c r="I1733" s="121"/>
      <c r="J1733" s="121"/>
      <c r="K1733" s="121"/>
      <c r="L1733" s="121"/>
      <c r="M1733" s="121"/>
      <c r="N1733" s="121"/>
      <c r="O1733" s="121"/>
      <c r="P1733" s="121"/>
      <c r="Q1733" s="121"/>
      <c r="R1733" s="121"/>
      <c r="S1733" s="121"/>
      <c r="T1733" s="121"/>
      <c r="U1733" s="121"/>
      <c r="V1733" s="121"/>
      <c r="W1733" s="121"/>
      <c r="X1733" s="121"/>
      <c r="Y1733" s="121"/>
      <c r="Z1733" s="121"/>
      <c r="AA1733" s="121"/>
      <c r="AB1733" s="121"/>
    </row>
    <row r="1734" spans="2:29" ht="13.5" customHeight="1">
      <c r="B1734" s="98" t="str">
        <f>CONCATENATE("- Valor Estimado: R$ ",INDEX(QSGR!$J$16:$J$11170,AC1727))</f>
        <v xml:space="preserve">- Valor Estimado: R$ </v>
      </c>
      <c r="C1734" s="121"/>
      <c r="D1734" s="121"/>
      <c r="E1734" s="121"/>
      <c r="F1734" s="121"/>
      <c r="G1734" s="121"/>
      <c r="H1734" s="121"/>
      <c r="I1734" s="121"/>
      <c r="J1734" s="121"/>
      <c r="K1734" s="121"/>
      <c r="L1734" s="121"/>
      <c r="M1734" s="121"/>
      <c r="N1734" s="121"/>
      <c r="O1734" s="121"/>
      <c r="P1734" s="121"/>
      <c r="Q1734" s="121"/>
      <c r="R1734" s="121"/>
      <c r="S1734" s="121"/>
      <c r="T1734" s="121"/>
      <c r="U1734" s="121"/>
      <c r="V1734" s="121"/>
      <c r="W1734" s="121"/>
      <c r="X1734" s="121"/>
      <c r="Y1734" s="121"/>
      <c r="Z1734" s="121"/>
      <c r="AA1734" s="121"/>
      <c r="AB1734" s="121"/>
    </row>
    <row r="1735" spans="2:29" ht="13.5" customHeight="1">
      <c r="B1735" s="100"/>
      <c r="C1735" s="121"/>
      <c r="D1735" s="121"/>
      <c r="E1735" s="121"/>
      <c r="F1735" s="121"/>
      <c r="G1735" s="121"/>
      <c r="H1735" s="121"/>
      <c r="I1735" s="121"/>
      <c r="J1735" s="121"/>
      <c r="K1735" s="121"/>
      <c r="L1735" s="121"/>
      <c r="M1735" s="121"/>
      <c r="N1735" s="121"/>
      <c r="O1735" s="121"/>
      <c r="P1735" s="121"/>
      <c r="Q1735" s="121"/>
      <c r="R1735" s="121"/>
      <c r="S1735" s="121"/>
      <c r="T1735" s="121"/>
      <c r="U1735" s="121"/>
      <c r="V1735" s="121"/>
      <c r="W1735" s="121"/>
      <c r="X1735" s="121"/>
      <c r="Y1735" s="121"/>
      <c r="Z1735" s="121"/>
      <c r="AA1735" s="121"/>
      <c r="AB1735" s="121"/>
    </row>
    <row r="1736" spans="2:29" ht="13.5" customHeight="1">
      <c r="B1736" s="98" t="s">
        <v>55</v>
      </c>
      <c r="C1736" s="121"/>
      <c r="D1736" s="121"/>
      <c r="E1736" s="121"/>
      <c r="F1736" s="121"/>
      <c r="G1736" s="121"/>
      <c r="H1736" s="121"/>
      <c r="I1736" s="121"/>
      <c r="J1736" s="121"/>
      <c r="K1736" s="121"/>
      <c r="L1736" s="121"/>
      <c r="M1736" s="121"/>
      <c r="N1736" s="121"/>
      <c r="O1736" s="121"/>
      <c r="P1736" s="121"/>
      <c r="Q1736" s="121"/>
      <c r="R1736" s="121"/>
      <c r="S1736" s="121"/>
      <c r="T1736" s="121"/>
      <c r="U1736" s="121"/>
      <c r="V1736" s="121"/>
      <c r="W1736" s="121"/>
      <c r="X1736" s="121"/>
      <c r="Y1736" s="121"/>
      <c r="Z1736" s="121"/>
      <c r="AA1736" s="121"/>
      <c r="AB1736" s="121"/>
      <c r="AC1736" s="37">
        <f>AC1727+1</f>
        <v>193</v>
      </c>
    </row>
    <row r="1737" spans="2:29" ht="13.5" customHeight="1">
      <c r="B1737" s="99">
        <f>INDEX(QSGR!$B$16:$B$1570,AC1736)</f>
        <v>0</v>
      </c>
      <c r="C1737" s="121"/>
      <c r="D1737" s="121"/>
      <c r="E1737" s="97">
        <f>INDEX(QSGR!$D$16:$D$11170,AC1736)</f>
        <v>0</v>
      </c>
      <c r="F1737" s="121"/>
      <c r="G1737" s="121"/>
      <c r="H1737" s="121"/>
      <c r="I1737" s="121"/>
      <c r="J1737" s="121"/>
      <c r="K1737" s="121"/>
      <c r="L1737" s="121"/>
      <c r="M1737" s="121"/>
      <c r="N1737" s="121"/>
      <c r="O1737" s="121"/>
      <c r="P1737" s="121"/>
      <c r="Q1737" s="121"/>
      <c r="R1737" s="121"/>
      <c r="S1737" s="121"/>
      <c r="T1737" s="121"/>
      <c r="U1737" s="121"/>
      <c r="V1737" s="121"/>
      <c r="W1737" s="121"/>
      <c r="X1737" s="121"/>
      <c r="Y1737" s="121"/>
      <c r="Z1737" s="121"/>
      <c r="AA1737" s="121"/>
      <c r="AB1737" s="121"/>
    </row>
    <row r="1738" spans="2:29" ht="13.5" customHeight="1">
      <c r="B1738" s="96" t="str">
        <f>CONCATENATE("- Evento: ",INFO!$B$22)</f>
        <v>- Evento: PARTICIPAR DA OPERAÇÃO HORUS.</v>
      </c>
      <c r="C1738" s="121"/>
      <c r="D1738" s="121"/>
      <c r="E1738" s="121"/>
      <c r="F1738" s="121"/>
      <c r="G1738" s="121"/>
      <c r="H1738" s="121"/>
      <c r="I1738" s="121"/>
      <c r="J1738" s="121"/>
      <c r="K1738" s="121"/>
      <c r="L1738" s="121"/>
      <c r="M1738" s="121"/>
      <c r="N1738" s="121"/>
      <c r="O1738" s="121"/>
      <c r="P1738" s="121"/>
      <c r="Q1738" s="121"/>
      <c r="R1738" s="121"/>
      <c r="S1738" s="121"/>
      <c r="T1738" s="121"/>
      <c r="U1738" s="121"/>
      <c r="V1738" s="121"/>
      <c r="W1738" s="121"/>
      <c r="X1738" s="121"/>
      <c r="Y1738" s="121"/>
      <c r="Z1738" s="121"/>
      <c r="AA1738" s="121"/>
      <c r="AB1738" s="121"/>
    </row>
    <row r="1739" spans="2:29" ht="13.5" customHeight="1">
      <c r="B1739" s="98" t="str">
        <f>CONCATENATE("- Documento de Solicitação: ",INFO!$B$24)</f>
        <v>- Documento de Solicitação: TESTE AZUL</v>
      </c>
      <c r="C1739" s="121"/>
      <c r="D1739" s="121"/>
      <c r="E1739" s="121"/>
      <c r="F1739" s="121"/>
      <c r="G1739" s="121"/>
      <c r="H1739" s="121"/>
      <c r="I1739" s="121"/>
      <c r="J1739" s="121"/>
      <c r="K1739" s="121"/>
      <c r="L1739" s="121"/>
      <c r="M1739" s="121"/>
      <c r="N1739" s="121"/>
      <c r="O1739" s="121"/>
      <c r="P1739" s="121"/>
      <c r="Q1739" s="121"/>
      <c r="R1739" s="121"/>
      <c r="S1739" s="121"/>
      <c r="T1739" s="121"/>
      <c r="U1739" s="121"/>
      <c r="V1739" s="121"/>
      <c r="W1739" s="121"/>
      <c r="X1739" s="121"/>
      <c r="Y1739" s="121"/>
      <c r="Z1739" s="121"/>
      <c r="AA1739" s="121"/>
      <c r="AB1739" s="121"/>
    </row>
    <row r="1740" spans="2:29" ht="13.5" customHeight="1">
      <c r="B1740" s="98" t="str">
        <f>CONCATENATE("- Local: ",INFO!$C$18)</f>
        <v>- Local: GUAIRA - PR</v>
      </c>
      <c r="C1740" s="121"/>
      <c r="D1740" s="121"/>
      <c r="E1740" s="121"/>
      <c r="F1740" s="121"/>
      <c r="G1740" s="121"/>
      <c r="H1740" s="121"/>
      <c r="I1740" s="121"/>
      <c r="J1740" s="121"/>
      <c r="K1740" s="121"/>
      <c r="L1740" s="121"/>
      <c r="M1740" s="121"/>
      <c r="N1740" s="121"/>
      <c r="O1740" s="121"/>
      <c r="P1740" s="121"/>
      <c r="Q1740" s="121"/>
      <c r="R1740" s="121"/>
      <c r="S1740" s="121"/>
      <c r="T1740" s="121"/>
      <c r="U1740" s="121"/>
      <c r="V1740" s="121"/>
      <c r="W1740" s="121"/>
      <c r="X1740" s="121"/>
      <c r="Y1740" s="121"/>
      <c r="Z1740" s="121"/>
      <c r="AA1740" s="121"/>
      <c r="AB1740" s="121"/>
    </row>
    <row r="1741" spans="2:29" ht="13.5" customHeight="1">
      <c r="B1741" s="98" t="str">
        <f>CONCATENATE("- Periodo: ",INFO!$C$10," a ",INFO!$C$19)</f>
        <v xml:space="preserve">- Periodo: 22/7/2025  a 23/8/2025 </v>
      </c>
      <c r="C1741" s="121"/>
      <c r="D1741" s="121"/>
      <c r="E1741" s="121"/>
      <c r="F1741" s="121"/>
      <c r="G1741" s="121"/>
      <c r="H1741" s="121"/>
      <c r="I1741" s="121"/>
      <c r="J1741" s="121"/>
      <c r="K1741" s="121"/>
      <c r="L1741" s="121"/>
      <c r="M1741" s="121"/>
      <c r="N1741" s="121"/>
      <c r="O1741" s="121"/>
      <c r="P1741" s="121"/>
      <c r="Q1741" s="121"/>
      <c r="R1741" s="121"/>
      <c r="S1741" s="121"/>
      <c r="T1741" s="121"/>
      <c r="U1741" s="121"/>
      <c r="V1741" s="121"/>
      <c r="W1741" s="121"/>
      <c r="X1741" s="121"/>
      <c r="Y1741" s="121"/>
      <c r="Z1741" s="121"/>
      <c r="AA1741" s="121"/>
      <c r="AB1741" s="121"/>
    </row>
    <row r="1742" spans="2:29" ht="13.5" customHeight="1">
      <c r="B1742" s="98" t="str">
        <f>CONCATENATE("- Nr Dias: ",INFO!$C$20)</f>
        <v>- Nr Dias: 33</v>
      </c>
      <c r="C1742" s="121"/>
      <c r="D1742" s="121"/>
      <c r="E1742" s="121"/>
      <c r="F1742" s="121"/>
      <c r="G1742" s="121"/>
      <c r="H1742" s="121"/>
      <c r="I1742" s="121"/>
      <c r="J1742" s="121"/>
      <c r="K1742" s="121"/>
      <c r="L1742" s="121"/>
      <c r="M1742" s="121"/>
      <c r="N1742" s="121"/>
      <c r="O1742" s="121"/>
      <c r="P1742" s="121"/>
      <c r="Q1742" s="121"/>
      <c r="R1742" s="121"/>
      <c r="S1742" s="121"/>
      <c r="T1742" s="121"/>
      <c r="U1742" s="121"/>
      <c r="V1742" s="121"/>
      <c r="W1742" s="121"/>
      <c r="X1742" s="121"/>
      <c r="Y1742" s="121"/>
      <c r="Z1742" s="121"/>
      <c r="AA1742" s="121"/>
      <c r="AB1742" s="121"/>
    </row>
    <row r="1743" spans="2:29" ht="13.5" customHeight="1">
      <c r="B1743" s="98" t="str">
        <f>CONCATENATE("- Valor Estimado: R$ ",INDEX(QSGR!$J$16:$J$11170,AC1736))</f>
        <v xml:space="preserve">- Valor Estimado: R$ </v>
      </c>
      <c r="C1743" s="121"/>
      <c r="D1743" s="121"/>
      <c r="E1743" s="121"/>
      <c r="F1743" s="121"/>
      <c r="G1743" s="121"/>
      <c r="H1743" s="121"/>
      <c r="I1743" s="121"/>
      <c r="J1743" s="121"/>
      <c r="K1743" s="121"/>
      <c r="L1743" s="121"/>
      <c r="M1743" s="121"/>
      <c r="N1743" s="121"/>
      <c r="O1743" s="121"/>
      <c r="P1743" s="121"/>
      <c r="Q1743" s="121"/>
      <c r="R1743" s="121"/>
      <c r="S1743" s="121"/>
      <c r="T1743" s="121"/>
      <c r="U1743" s="121"/>
      <c r="V1743" s="121"/>
      <c r="W1743" s="121"/>
      <c r="X1743" s="121"/>
      <c r="Y1743" s="121"/>
      <c r="Z1743" s="121"/>
      <c r="AA1743" s="121"/>
      <c r="AB1743" s="121"/>
    </row>
    <row r="1744" spans="2:29" ht="13.5" customHeight="1">
      <c r="B1744" s="100"/>
      <c r="C1744" s="121"/>
      <c r="D1744" s="121"/>
      <c r="E1744" s="121"/>
      <c r="F1744" s="121"/>
      <c r="G1744" s="121"/>
      <c r="H1744" s="121"/>
      <c r="I1744" s="121"/>
      <c r="J1744" s="121"/>
      <c r="K1744" s="121"/>
      <c r="L1744" s="121"/>
      <c r="M1744" s="121"/>
      <c r="N1744" s="121"/>
      <c r="O1744" s="121"/>
      <c r="P1744" s="121"/>
      <c r="Q1744" s="121"/>
      <c r="R1744" s="121"/>
      <c r="S1744" s="121"/>
      <c r="T1744" s="121"/>
      <c r="U1744" s="121"/>
      <c r="V1744" s="121"/>
      <c r="W1744" s="121"/>
      <c r="X1744" s="121"/>
      <c r="Y1744" s="121"/>
      <c r="Z1744" s="121"/>
      <c r="AA1744" s="121"/>
      <c r="AB1744" s="121"/>
    </row>
    <row r="1745" spans="2:29" ht="13.5" customHeight="1">
      <c r="B1745" s="98" t="s">
        <v>55</v>
      </c>
      <c r="C1745" s="121"/>
      <c r="D1745" s="121"/>
      <c r="E1745" s="121"/>
      <c r="F1745" s="121"/>
      <c r="G1745" s="121"/>
      <c r="H1745" s="121"/>
      <c r="I1745" s="121"/>
      <c r="J1745" s="121"/>
      <c r="K1745" s="121"/>
      <c r="L1745" s="121"/>
      <c r="M1745" s="121"/>
      <c r="N1745" s="121"/>
      <c r="O1745" s="121"/>
      <c r="P1745" s="121"/>
      <c r="Q1745" s="121"/>
      <c r="R1745" s="121"/>
      <c r="S1745" s="121"/>
      <c r="T1745" s="121"/>
      <c r="U1745" s="121"/>
      <c r="V1745" s="121"/>
      <c r="W1745" s="121"/>
      <c r="X1745" s="121"/>
      <c r="Y1745" s="121"/>
      <c r="Z1745" s="121"/>
      <c r="AA1745" s="121"/>
      <c r="AB1745" s="121"/>
      <c r="AC1745" s="37">
        <f>AC1736+1</f>
        <v>194</v>
      </c>
    </row>
    <row r="1746" spans="2:29" ht="13.5" customHeight="1">
      <c r="B1746" s="99">
        <f>INDEX(QSGR!$B$16:$B$1570,AC1745)</f>
        <v>0</v>
      </c>
      <c r="C1746" s="121"/>
      <c r="D1746" s="121"/>
      <c r="E1746" s="97">
        <f>INDEX(QSGR!$D$16:$D$11170,AC1745)</f>
        <v>0</v>
      </c>
      <c r="F1746" s="121"/>
      <c r="G1746" s="121"/>
      <c r="H1746" s="121"/>
      <c r="I1746" s="121"/>
      <c r="J1746" s="121"/>
      <c r="K1746" s="121"/>
      <c r="L1746" s="121"/>
      <c r="M1746" s="121"/>
      <c r="N1746" s="121"/>
      <c r="O1746" s="121"/>
      <c r="P1746" s="121"/>
      <c r="Q1746" s="121"/>
      <c r="R1746" s="121"/>
      <c r="S1746" s="121"/>
      <c r="T1746" s="121"/>
      <c r="U1746" s="121"/>
      <c r="V1746" s="121"/>
      <c r="W1746" s="121"/>
      <c r="X1746" s="121"/>
      <c r="Y1746" s="121"/>
      <c r="Z1746" s="121"/>
      <c r="AA1746" s="121"/>
      <c r="AB1746" s="121"/>
    </row>
    <row r="1747" spans="2:29" ht="13.5" customHeight="1">
      <c r="B1747" s="96" t="str">
        <f>CONCATENATE("- Evento: ",INFO!$B$22)</f>
        <v>- Evento: PARTICIPAR DA OPERAÇÃO HORUS.</v>
      </c>
      <c r="C1747" s="121"/>
      <c r="D1747" s="121"/>
      <c r="E1747" s="121"/>
      <c r="F1747" s="121"/>
      <c r="G1747" s="121"/>
      <c r="H1747" s="121"/>
      <c r="I1747" s="121"/>
      <c r="J1747" s="121"/>
      <c r="K1747" s="121"/>
      <c r="L1747" s="121"/>
      <c r="M1747" s="121"/>
      <c r="N1747" s="121"/>
      <c r="O1747" s="121"/>
      <c r="P1747" s="121"/>
      <c r="Q1747" s="121"/>
      <c r="R1747" s="121"/>
      <c r="S1747" s="121"/>
      <c r="T1747" s="121"/>
      <c r="U1747" s="121"/>
      <c r="V1747" s="121"/>
      <c r="W1747" s="121"/>
      <c r="X1747" s="121"/>
      <c r="Y1747" s="121"/>
      <c r="Z1747" s="121"/>
      <c r="AA1747" s="121"/>
      <c r="AB1747" s="121"/>
    </row>
    <row r="1748" spans="2:29" ht="13.5" customHeight="1">
      <c r="B1748" s="98" t="str">
        <f>CONCATENATE("- Documento de Solicitação: ",INFO!$B$24)</f>
        <v>- Documento de Solicitação: TESTE AZUL</v>
      </c>
      <c r="C1748" s="121"/>
      <c r="D1748" s="121"/>
      <c r="E1748" s="121"/>
      <c r="F1748" s="121"/>
      <c r="G1748" s="121"/>
      <c r="H1748" s="121"/>
      <c r="I1748" s="121"/>
      <c r="J1748" s="121"/>
      <c r="K1748" s="121"/>
      <c r="L1748" s="121"/>
      <c r="M1748" s="121"/>
      <c r="N1748" s="121"/>
      <c r="O1748" s="121"/>
      <c r="P1748" s="121"/>
      <c r="Q1748" s="121"/>
      <c r="R1748" s="121"/>
      <c r="S1748" s="121"/>
      <c r="T1748" s="121"/>
      <c r="U1748" s="121"/>
      <c r="V1748" s="121"/>
      <c r="W1748" s="121"/>
      <c r="X1748" s="121"/>
      <c r="Y1748" s="121"/>
      <c r="Z1748" s="121"/>
      <c r="AA1748" s="121"/>
      <c r="AB1748" s="121"/>
    </row>
    <row r="1749" spans="2:29" ht="13.5" customHeight="1">
      <c r="B1749" s="98" t="str">
        <f>CONCATENATE("- Local: ",INFO!$C$18)</f>
        <v>- Local: GUAIRA - PR</v>
      </c>
      <c r="C1749" s="121"/>
      <c r="D1749" s="121"/>
      <c r="E1749" s="121"/>
      <c r="F1749" s="121"/>
      <c r="G1749" s="121"/>
      <c r="H1749" s="121"/>
      <c r="I1749" s="121"/>
      <c r="J1749" s="121"/>
      <c r="K1749" s="121"/>
      <c r="L1749" s="121"/>
      <c r="M1749" s="121"/>
      <c r="N1749" s="121"/>
      <c r="O1749" s="121"/>
      <c r="P1749" s="121"/>
      <c r="Q1749" s="121"/>
      <c r="R1749" s="121"/>
      <c r="S1749" s="121"/>
      <c r="T1749" s="121"/>
      <c r="U1749" s="121"/>
      <c r="V1749" s="121"/>
      <c r="W1749" s="121"/>
      <c r="X1749" s="121"/>
      <c r="Y1749" s="121"/>
      <c r="Z1749" s="121"/>
      <c r="AA1749" s="121"/>
      <c r="AB1749" s="121"/>
    </row>
    <row r="1750" spans="2:29" ht="13.5" customHeight="1">
      <c r="B1750" s="98" t="str">
        <f>CONCATENATE("- Periodo: ",INFO!$C$10," a ",INFO!$C$19)</f>
        <v xml:space="preserve">- Periodo: 22/7/2025  a 23/8/2025 </v>
      </c>
      <c r="C1750" s="121"/>
      <c r="D1750" s="121"/>
      <c r="E1750" s="121"/>
      <c r="F1750" s="121"/>
      <c r="G1750" s="121"/>
      <c r="H1750" s="121"/>
      <c r="I1750" s="121"/>
      <c r="J1750" s="121"/>
      <c r="K1750" s="121"/>
      <c r="L1750" s="121"/>
      <c r="M1750" s="121"/>
      <c r="N1750" s="121"/>
      <c r="O1750" s="121"/>
      <c r="P1750" s="121"/>
      <c r="Q1750" s="121"/>
      <c r="R1750" s="121"/>
      <c r="S1750" s="121"/>
      <c r="T1750" s="121"/>
      <c r="U1750" s="121"/>
      <c r="V1750" s="121"/>
      <c r="W1750" s="121"/>
      <c r="X1750" s="121"/>
      <c r="Y1750" s="121"/>
      <c r="Z1750" s="121"/>
      <c r="AA1750" s="121"/>
      <c r="AB1750" s="121"/>
    </row>
    <row r="1751" spans="2:29" ht="13.5" customHeight="1">
      <c r="B1751" s="98" t="str">
        <f>CONCATENATE("- Nr Dias: ",INFO!$C$20)</f>
        <v>- Nr Dias: 33</v>
      </c>
      <c r="C1751" s="121"/>
      <c r="D1751" s="121"/>
      <c r="E1751" s="121"/>
      <c r="F1751" s="121"/>
      <c r="G1751" s="121"/>
      <c r="H1751" s="121"/>
      <c r="I1751" s="121"/>
      <c r="J1751" s="121"/>
      <c r="K1751" s="121"/>
      <c r="L1751" s="121"/>
      <c r="M1751" s="121"/>
      <c r="N1751" s="121"/>
      <c r="O1751" s="121"/>
      <c r="P1751" s="121"/>
      <c r="Q1751" s="121"/>
      <c r="R1751" s="121"/>
      <c r="S1751" s="121"/>
      <c r="T1751" s="121"/>
      <c r="U1751" s="121"/>
      <c r="V1751" s="121"/>
      <c r="W1751" s="121"/>
      <c r="X1751" s="121"/>
      <c r="Y1751" s="121"/>
      <c r="Z1751" s="121"/>
      <c r="AA1751" s="121"/>
      <c r="AB1751" s="121"/>
    </row>
    <row r="1752" spans="2:29" ht="13.5" customHeight="1">
      <c r="B1752" s="98" t="str">
        <f>CONCATENATE("- Valor Estimado: R$ ",INDEX(QSGR!$J$16:$J$11170,AC1745))</f>
        <v xml:space="preserve">- Valor Estimado: R$ </v>
      </c>
      <c r="C1752" s="121"/>
      <c r="D1752" s="121"/>
      <c r="E1752" s="121"/>
      <c r="F1752" s="121"/>
      <c r="G1752" s="121"/>
      <c r="H1752" s="121"/>
      <c r="I1752" s="121"/>
      <c r="J1752" s="121"/>
      <c r="K1752" s="121"/>
      <c r="L1752" s="121"/>
      <c r="M1752" s="121"/>
      <c r="N1752" s="121"/>
      <c r="O1752" s="121"/>
      <c r="P1752" s="121"/>
      <c r="Q1752" s="121"/>
      <c r="R1752" s="121"/>
      <c r="S1752" s="121"/>
      <c r="T1752" s="121"/>
      <c r="U1752" s="121"/>
      <c r="V1752" s="121"/>
      <c r="W1752" s="121"/>
      <c r="X1752" s="121"/>
      <c r="Y1752" s="121"/>
      <c r="Z1752" s="121"/>
      <c r="AA1752" s="121"/>
      <c r="AB1752" s="121"/>
    </row>
    <row r="1753" spans="2:29" ht="13.5" customHeight="1">
      <c r="B1753" s="100"/>
      <c r="C1753" s="121"/>
      <c r="D1753" s="121"/>
      <c r="E1753" s="121"/>
      <c r="F1753" s="121"/>
      <c r="G1753" s="121"/>
      <c r="H1753" s="121"/>
      <c r="I1753" s="121"/>
      <c r="J1753" s="121"/>
      <c r="K1753" s="121"/>
      <c r="L1753" s="121"/>
      <c r="M1753" s="121"/>
      <c r="N1753" s="121"/>
      <c r="O1753" s="121"/>
      <c r="P1753" s="121"/>
      <c r="Q1753" s="121"/>
      <c r="R1753" s="121"/>
      <c r="S1753" s="121"/>
      <c r="T1753" s="121"/>
      <c r="U1753" s="121"/>
      <c r="V1753" s="121"/>
      <c r="W1753" s="121"/>
      <c r="X1753" s="121"/>
      <c r="Y1753" s="121"/>
      <c r="Z1753" s="121"/>
      <c r="AA1753" s="121"/>
      <c r="AB1753" s="121"/>
    </row>
    <row r="1754" spans="2:29" ht="13.5" customHeight="1">
      <c r="B1754" s="98" t="s">
        <v>55</v>
      </c>
      <c r="C1754" s="121"/>
      <c r="D1754" s="121"/>
      <c r="E1754" s="121"/>
      <c r="F1754" s="121"/>
      <c r="G1754" s="121"/>
      <c r="H1754" s="121"/>
      <c r="I1754" s="121"/>
      <c r="J1754" s="121"/>
      <c r="K1754" s="121"/>
      <c r="L1754" s="121"/>
      <c r="M1754" s="121"/>
      <c r="N1754" s="121"/>
      <c r="O1754" s="121"/>
      <c r="P1754" s="121"/>
      <c r="Q1754" s="121"/>
      <c r="R1754" s="121"/>
      <c r="S1754" s="121"/>
      <c r="T1754" s="121"/>
      <c r="U1754" s="121"/>
      <c r="V1754" s="121"/>
      <c r="W1754" s="121"/>
      <c r="X1754" s="121"/>
      <c r="Y1754" s="121"/>
      <c r="Z1754" s="121"/>
      <c r="AA1754" s="121"/>
      <c r="AB1754" s="121"/>
      <c r="AC1754" s="37">
        <f>AC1745+1</f>
        <v>195</v>
      </c>
    </row>
    <row r="1755" spans="2:29" ht="13.5" customHeight="1">
      <c r="B1755" s="99">
        <f>INDEX(QSGR!$B$16:$B$1570,AC1754)</f>
        <v>0</v>
      </c>
      <c r="C1755" s="121"/>
      <c r="D1755" s="121"/>
      <c r="E1755" s="97">
        <f>INDEX(QSGR!$D$16:$D$11170,AC1754)</f>
        <v>0</v>
      </c>
      <c r="F1755" s="121"/>
      <c r="G1755" s="121"/>
      <c r="H1755" s="121"/>
      <c r="I1755" s="121"/>
      <c r="J1755" s="121"/>
      <c r="K1755" s="121"/>
      <c r="L1755" s="121"/>
      <c r="M1755" s="121"/>
      <c r="N1755" s="121"/>
      <c r="O1755" s="121"/>
      <c r="P1755" s="121"/>
      <c r="Q1755" s="121"/>
      <c r="R1755" s="121"/>
      <c r="S1755" s="121"/>
      <c r="T1755" s="121"/>
      <c r="U1755" s="121"/>
      <c r="V1755" s="121"/>
      <c r="W1755" s="121"/>
      <c r="X1755" s="121"/>
      <c r="Y1755" s="121"/>
      <c r="Z1755" s="121"/>
      <c r="AA1755" s="121"/>
      <c r="AB1755" s="121"/>
    </row>
    <row r="1756" spans="2:29" ht="13.5" customHeight="1">
      <c r="B1756" s="96" t="str">
        <f>CONCATENATE("- Evento: ",INFO!$B$22)</f>
        <v>- Evento: PARTICIPAR DA OPERAÇÃO HORUS.</v>
      </c>
      <c r="C1756" s="121"/>
      <c r="D1756" s="121"/>
      <c r="E1756" s="121"/>
      <c r="F1756" s="121"/>
      <c r="G1756" s="121"/>
      <c r="H1756" s="121"/>
      <c r="I1756" s="121"/>
      <c r="J1756" s="121"/>
      <c r="K1756" s="121"/>
      <c r="L1756" s="121"/>
      <c r="M1756" s="121"/>
      <c r="N1756" s="121"/>
      <c r="O1756" s="121"/>
      <c r="P1756" s="121"/>
      <c r="Q1756" s="121"/>
      <c r="R1756" s="121"/>
      <c r="S1756" s="121"/>
      <c r="T1756" s="121"/>
      <c r="U1756" s="121"/>
      <c r="V1756" s="121"/>
      <c r="W1756" s="121"/>
      <c r="X1756" s="121"/>
      <c r="Y1756" s="121"/>
      <c r="Z1756" s="121"/>
      <c r="AA1756" s="121"/>
      <c r="AB1756" s="121"/>
    </row>
    <row r="1757" spans="2:29" ht="13.5" customHeight="1">
      <c r="B1757" s="98" t="str">
        <f>CONCATENATE("- Documento de Solicitação: ",INFO!$B$24)</f>
        <v>- Documento de Solicitação: TESTE AZUL</v>
      </c>
      <c r="C1757" s="121"/>
      <c r="D1757" s="121"/>
      <c r="E1757" s="121"/>
      <c r="F1757" s="121"/>
      <c r="G1757" s="121"/>
      <c r="H1757" s="121"/>
      <c r="I1757" s="121"/>
      <c r="J1757" s="121"/>
      <c r="K1757" s="121"/>
      <c r="L1757" s="121"/>
      <c r="M1757" s="121"/>
      <c r="N1757" s="121"/>
      <c r="O1757" s="121"/>
      <c r="P1757" s="121"/>
      <c r="Q1757" s="121"/>
      <c r="R1757" s="121"/>
      <c r="S1757" s="121"/>
      <c r="T1757" s="121"/>
      <c r="U1757" s="121"/>
      <c r="V1757" s="121"/>
      <c r="W1757" s="121"/>
      <c r="X1757" s="121"/>
      <c r="Y1757" s="121"/>
      <c r="Z1757" s="121"/>
      <c r="AA1757" s="121"/>
      <c r="AB1757" s="121"/>
    </row>
    <row r="1758" spans="2:29" ht="13.5" customHeight="1">
      <c r="B1758" s="98" t="str">
        <f>CONCATENATE("- Local: ",INFO!$C$18)</f>
        <v>- Local: GUAIRA - PR</v>
      </c>
      <c r="C1758" s="121"/>
      <c r="D1758" s="121"/>
      <c r="E1758" s="121"/>
      <c r="F1758" s="121"/>
      <c r="G1758" s="121"/>
      <c r="H1758" s="121"/>
      <c r="I1758" s="121"/>
      <c r="J1758" s="121"/>
      <c r="K1758" s="121"/>
      <c r="L1758" s="121"/>
      <c r="M1758" s="121"/>
      <c r="N1758" s="121"/>
      <c r="O1758" s="121"/>
      <c r="P1758" s="121"/>
      <c r="Q1758" s="121"/>
      <c r="R1758" s="121"/>
      <c r="S1758" s="121"/>
      <c r="T1758" s="121"/>
      <c r="U1758" s="121"/>
      <c r="V1758" s="121"/>
      <c r="W1758" s="121"/>
      <c r="X1758" s="121"/>
      <c r="Y1758" s="121"/>
      <c r="Z1758" s="121"/>
      <c r="AA1758" s="121"/>
      <c r="AB1758" s="121"/>
    </row>
    <row r="1759" spans="2:29" ht="13.5" customHeight="1">
      <c r="B1759" s="98" t="str">
        <f>CONCATENATE("- Periodo: ",INFO!$C$10," a ",INFO!$C$19)</f>
        <v xml:space="preserve">- Periodo: 22/7/2025  a 23/8/2025 </v>
      </c>
      <c r="C1759" s="121"/>
      <c r="D1759" s="121"/>
      <c r="E1759" s="121"/>
      <c r="F1759" s="121"/>
      <c r="G1759" s="121"/>
      <c r="H1759" s="121"/>
      <c r="I1759" s="121"/>
      <c r="J1759" s="121"/>
      <c r="K1759" s="121"/>
      <c r="L1759" s="121"/>
      <c r="M1759" s="121"/>
      <c r="N1759" s="121"/>
      <c r="O1759" s="121"/>
      <c r="P1759" s="121"/>
      <c r="Q1759" s="121"/>
      <c r="R1759" s="121"/>
      <c r="S1759" s="121"/>
      <c r="T1759" s="121"/>
      <c r="U1759" s="121"/>
      <c r="V1759" s="121"/>
      <c r="W1759" s="121"/>
      <c r="X1759" s="121"/>
      <c r="Y1759" s="121"/>
      <c r="Z1759" s="121"/>
      <c r="AA1759" s="121"/>
      <c r="AB1759" s="121"/>
    </row>
    <row r="1760" spans="2:29" ht="13.5" customHeight="1">
      <c r="B1760" s="98" t="str">
        <f>CONCATENATE("- Nr Dias: ",INFO!$C$20)</f>
        <v>- Nr Dias: 33</v>
      </c>
      <c r="C1760" s="121"/>
      <c r="D1760" s="121"/>
      <c r="E1760" s="121"/>
      <c r="F1760" s="121"/>
      <c r="G1760" s="121"/>
      <c r="H1760" s="121"/>
      <c r="I1760" s="121"/>
      <c r="J1760" s="121"/>
      <c r="K1760" s="121"/>
      <c r="L1760" s="121"/>
      <c r="M1760" s="121"/>
      <c r="N1760" s="121"/>
      <c r="O1760" s="121"/>
      <c r="P1760" s="121"/>
      <c r="Q1760" s="121"/>
      <c r="R1760" s="121"/>
      <c r="S1760" s="121"/>
      <c r="T1760" s="121"/>
      <c r="U1760" s="121"/>
      <c r="V1760" s="121"/>
      <c r="W1760" s="121"/>
      <c r="X1760" s="121"/>
      <c r="Y1760" s="121"/>
      <c r="Z1760" s="121"/>
      <c r="AA1760" s="121"/>
      <c r="AB1760" s="121"/>
    </row>
    <row r="1761" spans="2:29" ht="13.5" customHeight="1">
      <c r="B1761" s="98" t="str">
        <f>CONCATENATE("- Valor Estimado: R$ ",INDEX(QSGR!$J$16:$J$11170,AC1754))</f>
        <v xml:space="preserve">- Valor Estimado: R$ </v>
      </c>
      <c r="C1761" s="121"/>
      <c r="D1761" s="121"/>
      <c r="E1761" s="121"/>
      <c r="F1761" s="121"/>
      <c r="G1761" s="121"/>
      <c r="H1761" s="121"/>
      <c r="I1761" s="121"/>
      <c r="J1761" s="121"/>
      <c r="K1761" s="121"/>
      <c r="L1761" s="121"/>
      <c r="M1761" s="121"/>
      <c r="N1761" s="121"/>
      <c r="O1761" s="121"/>
      <c r="P1761" s="121"/>
      <c r="Q1761" s="121"/>
      <c r="R1761" s="121"/>
      <c r="S1761" s="121"/>
      <c r="T1761" s="121"/>
      <c r="U1761" s="121"/>
      <c r="V1761" s="121"/>
      <c r="W1761" s="121"/>
      <c r="X1761" s="121"/>
      <c r="Y1761" s="121"/>
      <c r="Z1761" s="121"/>
      <c r="AA1761" s="121"/>
      <c r="AB1761" s="121"/>
    </row>
    <row r="1762" spans="2:29" ht="13.5" customHeight="1">
      <c r="B1762" s="100"/>
      <c r="C1762" s="121"/>
      <c r="D1762" s="121"/>
      <c r="E1762" s="121"/>
      <c r="F1762" s="121"/>
      <c r="G1762" s="121"/>
      <c r="H1762" s="121"/>
      <c r="I1762" s="121"/>
      <c r="J1762" s="121"/>
      <c r="K1762" s="121"/>
      <c r="L1762" s="121"/>
      <c r="M1762" s="121"/>
      <c r="N1762" s="121"/>
      <c r="O1762" s="121"/>
      <c r="P1762" s="121"/>
      <c r="Q1762" s="121"/>
      <c r="R1762" s="121"/>
      <c r="S1762" s="121"/>
      <c r="T1762" s="121"/>
      <c r="U1762" s="121"/>
      <c r="V1762" s="121"/>
      <c r="W1762" s="121"/>
      <c r="X1762" s="121"/>
      <c r="Y1762" s="121"/>
      <c r="Z1762" s="121"/>
      <c r="AA1762" s="121"/>
      <c r="AB1762" s="121"/>
    </row>
    <row r="1763" spans="2:29" ht="13.5" customHeight="1">
      <c r="B1763" s="98" t="s">
        <v>55</v>
      </c>
      <c r="C1763" s="121"/>
      <c r="D1763" s="121"/>
      <c r="E1763" s="121"/>
      <c r="F1763" s="121"/>
      <c r="G1763" s="121"/>
      <c r="H1763" s="121"/>
      <c r="I1763" s="121"/>
      <c r="J1763" s="121"/>
      <c r="K1763" s="121"/>
      <c r="L1763" s="121"/>
      <c r="M1763" s="121"/>
      <c r="N1763" s="121"/>
      <c r="O1763" s="121"/>
      <c r="P1763" s="121"/>
      <c r="Q1763" s="121"/>
      <c r="R1763" s="121"/>
      <c r="S1763" s="121"/>
      <c r="T1763" s="121"/>
      <c r="U1763" s="121"/>
      <c r="V1763" s="121"/>
      <c r="W1763" s="121"/>
      <c r="X1763" s="121"/>
      <c r="Y1763" s="121"/>
      <c r="Z1763" s="121"/>
      <c r="AA1763" s="121"/>
      <c r="AB1763" s="121"/>
      <c r="AC1763" s="37">
        <f>AC1754+1</f>
        <v>196</v>
      </c>
    </row>
    <row r="1764" spans="2:29" ht="13.5" customHeight="1">
      <c r="B1764" s="99">
        <f>INDEX(QSGR!$B$16:$B$1570,AC1763)</f>
        <v>0</v>
      </c>
      <c r="C1764" s="121"/>
      <c r="D1764" s="121"/>
      <c r="E1764" s="97">
        <f>INDEX(QSGR!$D$16:$D$11170,AC1763)</f>
        <v>0</v>
      </c>
      <c r="F1764" s="121"/>
      <c r="G1764" s="121"/>
      <c r="H1764" s="121"/>
      <c r="I1764" s="121"/>
      <c r="J1764" s="121"/>
      <c r="K1764" s="121"/>
      <c r="L1764" s="121"/>
      <c r="M1764" s="121"/>
      <c r="N1764" s="121"/>
      <c r="O1764" s="121"/>
      <c r="P1764" s="121"/>
      <c r="Q1764" s="121"/>
      <c r="R1764" s="121"/>
      <c r="S1764" s="121"/>
      <c r="T1764" s="121"/>
      <c r="U1764" s="121"/>
      <c r="V1764" s="121"/>
      <c r="W1764" s="121"/>
      <c r="X1764" s="121"/>
      <c r="Y1764" s="121"/>
      <c r="Z1764" s="121"/>
      <c r="AA1764" s="121"/>
      <c r="AB1764" s="121"/>
    </row>
    <row r="1765" spans="2:29" ht="13.5" customHeight="1">
      <c r="B1765" s="96" t="str">
        <f>CONCATENATE("- Evento: ",INFO!$B$22)</f>
        <v>- Evento: PARTICIPAR DA OPERAÇÃO HORUS.</v>
      </c>
      <c r="C1765" s="121"/>
      <c r="D1765" s="121"/>
      <c r="E1765" s="121"/>
      <c r="F1765" s="121"/>
      <c r="G1765" s="121"/>
      <c r="H1765" s="121"/>
      <c r="I1765" s="121"/>
      <c r="J1765" s="121"/>
      <c r="K1765" s="121"/>
      <c r="L1765" s="121"/>
      <c r="M1765" s="121"/>
      <c r="N1765" s="121"/>
      <c r="O1765" s="121"/>
      <c r="P1765" s="121"/>
      <c r="Q1765" s="121"/>
      <c r="R1765" s="121"/>
      <c r="S1765" s="121"/>
      <c r="T1765" s="121"/>
      <c r="U1765" s="121"/>
      <c r="V1765" s="121"/>
      <c r="W1765" s="121"/>
      <c r="X1765" s="121"/>
      <c r="Y1765" s="121"/>
      <c r="Z1765" s="121"/>
      <c r="AA1765" s="121"/>
      <c r="AB1765" s="121"/>
    </row>
    <row r="1766" spans="2:29" ht="13.5" customHeight="1">
      <c r="B1766" s="98" t="str">
        <f>CONCATENATE("- Documento de Solicitação: ",INFO!$B$24)</f>
        <v>- Documento de Solicitação: TESTE AZUL</v>
      </c>
      <c r="C1766" s="121"/>
      <c r="D1766" s="121"/>
      <c r="E1766" s="121"/>
      <c r="F1766" s="121"/>
      <c r="G1766" s="121"/>
      <c r="H1766" s="121"/>
      <c r="I1766" s="121"/>
      <c r="J1766" s="121"/>
      <c r="K1766" s="121"/>
      <c r="L1766" s="121"/>
      <c r="M1766" s="121"/>
      <c r="N1766" s="121"/>
      <c r="O1766" s="121"/>
      <c r="P1766" s="121"/>
      <c r="Q1766" s="121"/>
      <c r="R1766" s="121"/>
      <c r="S1766" s="121"/>
      <c r="T1766" s="121"/>
      <c r="U1766" s="121"/>
      <c r="V1766" s="121"/>
      <c r="W1766" s="121"/>
      <c r="X1766" s="121"/>
      <c r="Y1766" s="121"/>
      <c r="Z1766" s="121"/>
      <c r="AA1766" s="121"/>
      <c r="AB1766" s="121"/>
    </row>
    <row r="1767" spans="2:29" ht="13.5" customHeight="1">
      <c r="B1767" s="98" t="str">
        <f>CONCATENATE("- Local: ",INFO!$C$18)</f>
        <v>- Local: GUAIRA - PR</v>
      </c>
      <c r="C1767" s="121"/>
      <c r="D1767" s="121"/>
      <c r="E1767" s="121"/>
      <c r="F1767" s="121"/>
      <c r="G1767" s="121"/>
      <c r="H1767" s="121"/>
      <c r="I1767" s="121"/>
      <c r="J1767" s="121"/>
      <c r="K1767" s="121"/>
      <c r="L1767" s="121"/>
      <c r="M1767" s="121"/>
      <c r="N1767" s="121"/>
      <c r="O1767" s="121"/>
      <c r="P1767" s="121"/>
      <c r="Q1767" s="121"/>
      <c r="R1767" s="121"/>
      <c r="S1767" s="121"/>
      <c r="T1767" s="121"/>
      <c r="U1767" s="121"/>
      <c r="V1767" s="121"/>
      <c r="W1767" s="121"/>
      <c r="X1767" s="121"/>
      <c r="Y1767" s="121"/>
      <c r="Z1767" s="121"/>
      <c r="AA1767" s="121"/>
      <c r="AB1767" s="121"/>
    </row>
    <row r="1768" spans="2:29" ht="13.5" customHeight="1">
      <c r="B1768" s="98" t="str">
        <f>CONCATENATE("- Periodo: ",INFO!$C$10," a ",INFO!$C$19)</f>
        <v xml:space="preserve">- Periodo: 22/7/2025  a 23/8/2025 </v>
      </c>
      <c r="C1768" s="121"/>
      <c r="D1768" s="121"/>
      <c r="E1768" s="121"/>
      <c r="F1768" s="121"/>
      <c r="G1768" s="121"/>
      <c r="H1768" s="121"/>
      <c r="I1768" s="121"/>
      <c r="J1768" s="121"/>
      <c r="K1768" s="121"/>
      <c r="L1768" s="121"/>
      <c r="M1768" s="121"/>
      <c r="N1768" s="121"/>
      <c r="O1768" s="121"/>
      <c r="P1768" s="121"/>
      <c r="Q1768" s="121"/>
      <c r="R1768" s="121"/>
      <c r="S1768" s="121"/>
      <c r="T1768" s="121"/>
      <c r="U1768" s="121"/>
      <c r="V1768" s="121"/>
      <c r="W1768" s="121"/>
      <c r="X1768" s="121"/>
      <c r="Y1768" s="121"/>
      <c r="Z1768" s="121"/>
      <c r="AA1768" s="121"/>
      <c r="AB1768" s="121"/>
    </row>
    <row r="1769" spans="2:29" ht="13.5" customHeight="1">
      <c r="B1769" s="98" t="str">
        <f>CONCATENATE("- Nr Dias: ",INFO!$C$20)</f>
        <v>- Nr Dias: 33</v>
      </c>
      <c r="C1769" s="121"/>
      <c r="D1769" s="121"/>
      <c r="E1769" s="121"/>
      <c r="F1769" s="121"/>
      <c r="G1769" s="121"/>
      <c r="H1769" s="121"/>
      <c r="I1769" s="121"/>
      <c r="J1769" s="121"/>
      <c r="K1769" s="121"/>
      <c r="L1769" s="121"/>
      <c r="M1769" s="121"/>
      <c r="N1769" s="121"/>
      <c r="O1769" s="121"/>
      <c r="P1769" s="121"/>
      <c r="Q1769" s="121"/>
      <c r="R1769" s="121"/>
      <c r="S1769" s="121"/>
      <c r="T1769" s="121"/>
      <c r="U1769" s="121"/>
      <c r="V1769" s="121"/>
      <c r="W1769" s="121"/>
      <c r="X1769" s="121"/>
      <c r="Y1769" s="121"/>
      <c r="Z1769" s="121"/>
      <c r="AA1769" s="121"/>
      <c r="AB1769" s="121"/>
    </row>
    <row r="1770" spans="2:29" ht="13.5" customHeight="1">
      <c r="B1770" s="98" t="str">
        <f>CONCATENATE("- Valor Estimado: R$ ",INDEX(QSGR!$J$16:$J$11170,AC1763))</f>
        <v xml:space="preserve">- Valor Estimado: R$ </v>
      </c>
      <c r="C1770" s="121"/>
      <c r="D1770" s="121"/>
      <c r="E1770" s="121"/>
      <c r="F1770" s="121"/>
      <c r="G1770" s="121"/>
      <c r="H1770" s="121"/>
      <c r="I1770" s="121"/>
      <c r="J1770" s="121"/>
      <c r="K1770" s="121"/>
      <c r="L1770" s="121"/>
      <c r="M1770" s="121"/>
      <c r="N1770" s="121"/>
      <c r="O1770" s="121"/>
      <c r="P1770" s="121"/>
      <c r="Q1770" s="121"/>
      <c r="R1770" s="121"/>
      <c r="S1770" s="121"/>
      <c r="T1770" s="121"/>
      <c r="U1770" s="121"/>
      <c r="V1770" s="121"/>
      <c r="W1770" s="121"/>
      <c r="X1770" s="121"/>
      <c r="Y1770" s="121"/>
      <c r="Z1770" s="121"/>
      <c r="AA1770" s="121"/>
      <c r="AB1770" s="121"/>
    </row>
    <row r="1771" spans="2:29" ht="13.5" customHeight="1">
      <c r="B1771" s="100"/>
      <c r="C1771" s="121"/>
      <c r="D1771" s="121"/>
      <c r="E1771" s="121"/>
      <c r="F1771" s="121"/>
      <c r="G1771" s="121"/>
      <c r="H1771" s="121"/>
      <c r="I1771" s="121"/>
      <c r="J1771" s="121"/>
      <c r="K1771" s="121"/>
      <c r="L1771" s="121"/>
      <c r="M1771" s="121"/>
      <c r="N1771" s="121"/>
      <c r="O1771" s="121"/>
      <c r="P1771" s="121"/>
      <c r="Q1771" s="121"/>
      <c r="R1771" s="121"/>
      <c r="S1771" s="121"/>
      <c r="T1771" s="121"/>
      <c r="U1771" s="121"/>
      <c r="V1771" s="121"/>
      <c r="W1771" s="121"/>
      <c r="X1771" s="121"/>
      <c r="Y1771" s="121"/>
      <c r="Z1771" s="121"/>
      <c r="AA1771" s="121"/>
      <c r="AB1771" s="121"/>
    </row>
    <row r="1772" spans="2:29" ht="13.5" customHeight="1">
      <c r="B1772" s="98" t="s">
        <v>55</v>
      </c>
      <c r="C1772" s="121"/>
      <c r="D1772" s="121"/>
      <c r="E1772" s="121"/>
      <c r="F1772" s="121"/>
      <c r="G1772" s="121"/>
      <c r="H1772" s="121"/>
      <c r="I1772" s="121"/>
      <c r="J1772" s="121"/>
      <c r="K1772" s="121"/>
      <c r="L1772" s="121"/>
      <c r="M1772" s="121"/>
      <c r="N1772" s="121"/>
      <c r="O1772" s="121"/>
      <c r="P1772" s="121"/>
      <c r="Q1772" s="121"/>
      <c r="R1772" s="121"/>
      <c r="S1772" s="121"/>
      <c r="T1772" s="121"/>
      <c r="U1772" s="121"/>
      <c r="V1772" s="121"/>
      <c r="W1772" s="121"/>
      <c r="X1772" s="121"/>
      <c r="Y1772" s="121"/>
      <c r="Z1772" s="121"/>
      <c r="AA1772" s="121"/>
      <c r="AB1772" s="121"/>
      <c r="AC1772" s="37">
        <f>AC1763+1</f>
        <v>197</v>
      </c>
    </row>
    <row r="1773" spans="2:29" ht="13.5" customHeight="1">
      <c r="B1773" s="99">
        <f>INDEX(QSGR!$B$16:$B$1570,AC1772)</f>
        <v>0</v>
      </c>
      <c r="C1773" s="121"/>
      <c r="D1773" s="121"/>
      <c r="E1773" s="97">
        <f>INDEX(QSGR!$D$16:$D$11170,AC1772)</f>
        <v>0</v>
      </c>
      <c r="F1773" s="121"/>
      <c r="G1773" s="121"/>
      <c r="H1773" s="121"/>
      <c r="I1773" s="121"/>
      <c r="J1773" s="121"/>
      <c r="K1773" s="121"/>
      <c r="L1773" s="121"/>
      <c r="M1773" s="121"/>
      <c r="N1773" s="121"/>
      <c r="O1773" s="121"/>
      <c r="P1773" s="121"/>
      <c r="Q1773" s="121"/>
      <c r="R1773" s="121"/>
      <c r="S1773" s="121"/>
      <c r="T1773" s="121"/>
      <c r="U1773" s="121"/>
      <c r="V1773" s="121"/>
      <c r="W1773" s="121"/>
      <c r="X1773" s="121"/>
      <c r="Y1773" s="121"/>
      <c r="Z1773" s="121"/>
      <c r="AA1773" s="121"/>
      <c r="AB1773" s="121"/>
    </row>
    <row r="1774" spans="2:29" ht="13.5" customHeight="1">
      <c r="B1774" s="96" t="str">
        <f>CONCATENATE("- Evento: ",INFO!$B$22)</f>
        <v>- Evento: PARTICIPAR DA OPERAÇÃO HORUS.</v>
      </c>
      <c r="C1774" s="121"/>
      <c r="D1774" s="121"/>
      <c r="E1774" s="121"/>
      <c r="F1774" s="121"/>
      <c r="G1774" s="121"/>
      <c r="H1774" s="121"/>
      <c r="I1774" s="121"/>
      <c r="J1774" s="121"/>
      <c r="K1774" s="121"/>
      <c r="L1774" s="121"/>
      <c r="M1774" s="121"/>
      <c r="N1774" s="121"/>
      <c r="O1774" s="121"/>
      <c r="P1774" s="121"/>
      <c r="Q1774" s="121"/>
      <c r="R1774" s="121"/>
      <c r="S1774" s="121"/>
      <c r="T1774" s="121"/>
      <c r="U1774" s="121"/>
      <c r="V1774" s="121"/>
      <c r="W1774" s="121"/>
      <c r="X1774" s="121"/>
      <c r="Y1774" s="121"/>
      <c r="Z1774" s="121"/>
      <c r="AA1774" s="121"/>
      <c r="AB1774" s="121"/>
    </row>
    <row r="1775" spans="2:29" ht="13.5" customHeight="1">
      <c r="B1775" s="98" t="str">
        <f>CONCATENATE("- Documento de Solicitação: ",INFO!$B$24)</f>
        <v>- Documento de Solicitação: TESTE AZUL</v>
      </c>
      <c r="C1775" s="121"/>
      <c r="D1775" s="121"/>
      <c r="E1775" s="121"/>
      <c r="F1775" s="121"/>
      <c r="G1775" s="121"/>
      <c r="H1775" s="121"/>
      <c r="I1775" s="121"/>
      <c r="J1775" s="121"/>
      <c r="K1775" s="121"/>
      <c r="L1775" s="121"/>
      <c r="M1775" s="121"/>
      <c r="N1775" s="121"/>
      <c r="O1775" s="121"/>
      <c r="P1775" s="121"/>
      <c r="Q1775" s="121"/>
      <c r="R1775" s="121"/>
      <c r="S1775" s="121"/>
      <c r="T1775" s="121"/>
      <c r="U1775" s="121"/>
      <c r="V1775" s="121"/>
      <c r="W1775" s="121"/>
      <c r="X1775" s="121"/>
      <c r="Y1775" s="121"/>
      <c r="Z1775" s="121"/>
      <c r="AA1775" s="121"/>
      <c r="AB1775" s="121"/>
    </row>
    <row r="1776" spans="2:29" ht="13.5" customHeight="1">
      <c r="B1776" s="98" t="str">
        <f>CONCATENATE("- Local: ",INFO!$C$18)</f>
        <v>- Local: GUAIRA - PR</v>
      </c>
      <c r="C1776" s="121"/>
      <c r="D1776" s="121"/>
      <c r="E1776" s="121"/>
      <c r="F1776" s="121"/>
      <c r="G1776" s="121"/>
      <c r="H1776" s="121"/>
      <c r="I1776" s="121"/>
      <c r="J1776" s="121"/>
      <c r="K1776" s="121"/>
      <c r="L1776" s="121"/>
      <c r="M1776" s="121"/>
      <c r="N1776" s="121"/>
      <c r="O1776" s="121"/>
      <c r="P1776" s="121"/>
      <c r="Q1776" s="121"/>
      <c r="R1776" s="121"/>
      <c r="S1776" s="121"/>
      <c r="T1776" s="121"/>
      <c r="U1776" s="121"/>
      <c r="V1776" s="121"/>
      <c r="W1776" s="121"/>
      <c r="X1776" s="121"/>
      <c r="Y1776" s="121"/>
      <c r="Z1776" s="121"/>
      <c r="AA1776" s="121"/>
      <c r="AB1776" s="121"/>
    </row>
    <row r="1777" spans="2:29" ht="13.5" customHeight="1">
      <c r="B1777" s="98" t="str">
        <f>CONCATENATE("- Periodo: ",INFO!$C$10," a ",INFO!$C$19)</f>
        <v xml:space="preserve">- Periodo: 22/7/2025  a 23/8/2025 </v>
      </c>
      <c r="C1777" s="121"/>
      <c r="D1777" s="121"/>
      <c r="E1777" s="121"/>
      <c r="F1777" s="121"/>
      <c r="G1777" s="121"/>
      <c r="H1777" s="121"/>
      <c r="I1777" s="121"/>
      <c r="J1777" s="121"/>
      <c r="K1777" s="121"/>
      <c r="L1777" s="121"/>
      <c r="M1777" s="121"/>
      <c r="N1777" s="121"/>
      <c r="O1777" s="121"/>
      <c r="P1777" s="121"/>
      <c r="Q1777" s="121"/>
      <c r="R1777" s="121"/>
      <c r="S1777" s="121"/>
      <c r="T1777" s="121"/>
      <c r="U1777" s="121"/>
      <c r="V1777" s="121"/>
      <c r="W1777" s="121"/>
      <c r="X1777" s="121"/>
      <c r="Y1777" s="121"/>
      <c r="Z1777" s="121"/>
      <c r="AA1777" s="121"/>
      <c r="AB1777" s="121"/>
    </row>
    <row r="1778" spans="2:29" ht="13.5" customHeight="1">
      <c r="B1778" s="98" t="str">
        <f>CONCATENATE("- Nr Dias: ",INFO!$C$20)</f>
        <v>- Nr Dias: 33</v>
      </c>
      <c r="C1778" s="121"/>
      <c r="D1778" s="121"/>
      <c r="E1778" s="121"/>
      <c r="F1778" s="121"/>
      <c r="G1778" s="121"/>
      <c r="H1778" s="121"/>
      <c r="I1778" s="121"/>
      <c r="J1778" s="121"/>
      <c r="K1778" s="121"/>
      <c r="L1778" s="121"/>
      <c r="M1778" s="121"/>
      <c r="N1778" s="121"/>
      <c r="O1778" s="121"/>
      <c r="P1778" s="121"/>
      <c r="Q1778" s="121"/>
      <c r="R1778" s="121"/>
      <c r="S1778" s="121"/>
      <c r="T1778" s="121"/>
      <c r="U1778" s="121"/>
      <c r="V1778" s="121"/>
      <c r="W1778" s="121"/>
      <c r="X1778" s="121"/>
      <c r="Y1778" s="121"/>
      <c r="Z1778" s="121"/>
      <c r="AA1778" s="121"/>
      <c r="AB1778" s="121"/>
    </row>
    <row r="1779" spans="2:29" ht="13.5" customHeight="1">
      <c r="B1779" s="98" t="str">
        <f>CONCATENATE("- Valor Estimado: R$ ",INDEX(QSGR!$J$16:$J$11170,AC1772))</f>
        <v xml:space="preserve">- Valor Estimado: R$ </v>
      </c>
      <c r="C1779" s="121"/>
      <c r="D1779" s="121"/>
      <c r="E1779" s="121"/>
      <c r="F1779" s="121"/>
      <c r="G1779" s="121"/>
      <c r="H1779" s="121"/>
      <c r="I1779" s="121"/>
      <c r="J1779" s="121"/>
      <c r="K1779" s="121"/>
      <c r="L1779" s="121"/>
      <c r="M1779" s="121"/>
      <c r="N1779" s="121"/>
      <c r="O1779" s="121"/>
      <c r="P1779" s="121"/>
      <c r="Q1779" s="121"/>
      <c r="R1779" s="121"/>
      <c r="S1779" s="121"/>
      <c r="T1779" s="121"/>
      <c r="U1779" s="121"/>
      <c r="V1779" s="121"/>
      <c r="W1779" s="121"/>
      <c r="X1779" s="121"/>
      <c r="Y1779" s="121"/>
      <c r="Z1779" s="121"/>
      <c r="AA1779" s="121"/>
      <c r="AB1779" s="121"/>
    </row>
    <row r="1780" spans="2:29" ht="13.5" customHeight="1">
      <c r="B1780" s="100"/>
      <c r="C1780" s="121"/>
      <c r="D1780" s="121"/>
      <c r="E1780" s="121"/>
      <c r="F1780" s="121"/>
      <c r="G1780" s="121"/>
      <c r="H1780" s="121"/>
      <c r="I1780" s="121"/>
      <c r="J1780" s="121"/>
      <c r="K1780" s="121"/>
      <c r="L1780" s="121"/>
      <c r="M1780" s="121"/>
      <c r="N1780" s="121"/>
      <c r="O1780" s="121"/>
      <c r="P1780" s="121"/>
      <c r="Q1780" s="121"/>
      <c r="R1780" s="121"/>
      <c r="S1780" s="121"/>
      <c r="T1780" s="121"/>
      <c r="U1780" s="121"/>
      <c r="V1780" s="121"/>
      <c r="W1780" s="121"/>
      <c r="X1780" s="121"/>
      <c r="Y1780" s="121"/>
      <c r="Z1780" s="121"/>
      <c r="AA1780" s="121"/>
      <c r="AB1780" s="121"/>
    </row>
    <row r="1781" spans="2:29" ht="13.5" customHeight="1">
      <c r="B1781" s="98" t="s">
        <v>55</v>
      </c>
      <c r="C1781" s="121"/>
      <c r="D1781" s="121"/>
      <c r="E1781" s="121"/>
      <c r="F1781" s="121"/>
      <c r="G1781" s="121"/>
      <c r="H1781" s="121"/>
      <c r="I1781" s="121"/>
      <c r="J1781" s="121"/>
      <c r="K1781" s="121"/>
      <c r="L1781" s="121"/>
      <c r="M1781" s="121"/>
      <c r="N1781" s="121"/>
      <c r="O1781" s="121"/>
      <c r="P1781" s="121"/>
      <c r="Q1781" s="121"/>
      <c r="R1781" s="121"/>
      <c r="S1781" s="121"/>
      <c r="T1781" s="121"/>
      <c r="U1781" s="121"/>
      <c r="V1781" s="121"/>
      <c r="W1781" s="121"/>
      <c r="X1781" s="121"/>
      <c r="Y1781" s="121"/>
      <c r="Z1781" s="121"/>
      <c r="AA1781" s="121"/>
      <c r="AB1781" s="121"/>
      <c r="AC1781" s="37">
        <f>AC1772+1</f>
        <v>198</v>
      </c>
    </row>
    <row r="1782" spans="2:29" ht="13.5" customHeight="1">
      <c r="B1782" s="99">
        <f>INDEX(QSGR!$B$16:$B$1570,AC1781)</f>
        <v>0</v>
      </c>
      <c r="C1782" s="121"/>
      <c r="D1782" s="121"/>
      <c r="E1782" s="97">
        <f>INDEX(QSGR!$D$16:$D$11170,AC1781)</f>
        <v>0</v>
      </c>
      <c r="F1782" s="121"/>
      <c r="G1782" s="121"/>
      <c r="H1782" s="121"/>
      <c r="I1782" s="121"/>
      <c r="J1782" s="121"/>
      <c r="K1782" s="121"/>
      <c r="L1782" s="121"/>
      <c r="M1782" s="121"/>
      <c r="N1782" s="121"/>
      <c r="O1782" s="121"/>
      <c r="P1782" s="121"/>
      <c r="Q1782" s="121"/>
      <c r="R1782" s="121"/>
      <c r="S1782" s="121"/>
      <c r="T1782" s="121"/>
      <c r="U1782" s="121"/>
      <c r="V1782" s="121"/>
      <c r="W1782" s="121"/>
      <c r="X1782" s="121"/>
      <c r="Y1782" s="121"/>
      <c r="Z1782" s="121"/>
      <c r="AA1782" s="121"/>
      <c r="AB1782" s="121"/>
    </row>
    <row r="1783" spans="2:29" ht="13.5" customHeight="1">
      <c r="B1783" s="96" t="str">
        <f>CONCATENATE("- Evento: ",INFO!$B$22)</f>
        <v>- Evento: PARTICIPAR DA OPERAÇÃO HORUS.</v>
      </c>
      <c r="C1783" s="121"/>
      <c r="D1783" s="121"/>
      <c r="E1783" s="121"/>
      <c r="F1783" s="121"/>
      <c r="G1783" s="121"/>
      <c r="H1783" s="121"/>
      <c r="I1783" s="121"/>
      <c r="J1783" s="121"/>
      <c r="K1783" s="121"/>
      <c r="L1783" s="121"/>
      <c r="M1783" s="121"/>
      <c r="N1783" s="121"/>
      <c r="O1783" s="121"/>
      <c r="P1783" s="121"/>
      <c r="Q1783" s="121"/>
      <c r="R1783" s="121"/>
      <c r="S1783" s="121"/>
      <c r="T1783" s="121"/>
      <c r="U1783" s="121"/>
      <c r="V1783" s="121"/>
      <c r="W1783" s="121"/>
      <c r="X1783" s="121"/>
      <c r="Y1783" s="121"/>
      <c r="Z1783" s="121"/>
      <c r="AA1783" s="121"/>
      <c r="AB1783" s="121"/>
    </row>
    <row r="1784" spans="2:29" ht="13.5" customHeight="1">
      <c r="B1784" s="98" t="str">
        <f>CONCATENATE("- Documento de Solicitação: ",INFO!$B$24)</f>
        <v>- Documento de Solicitação: TESTE AZUL</v>
      </c>
      <c r="C1784" s="121"/>
      <c r="D1784" s="121"/>
      <c r="E1784" s="121"/>
      <c r="F1784" s="121"/>
      <c r="G1784" s="121"/>
      <c r="H1784" s="121"/>
      <c r="I1784" s="121"/>
      <c r="J1784" s="121"/>
      <c r="K1784" s="121"/>
      <c r="L1784" s="121"/>
      <c r="M1784" s="121"/>
      <c r="N1784" s="121"/>
      <c r="O1784" s="121"/>
      <c r="P1784" s="121"/>
      <c r="Q1784" s="121"/>
      <c r="R1784" s="121"/>
      <c r="S1784" s="121"/>
      <c r="T1784" s="121"/>
      <c r="U1784" s="121"/>
      <c r="V1784" s="121"/>
      <c r="W1784" s="121"/>
      <c r="X1784" s="121"/>
      <c r="Y1784" s="121"/>
      <c r="Z1784" s="121"/>
      <c r="AA1784" s="121"/>
      <c r="AB1784" s="121"/>
    </row>
    <row r="1785" spans="2:29" ht="13.5" customHeight="1">
      <c r="B1785" s="98" t="str">
        <f>CONCATENATE("- Local: ",INFO!$C$18)</f>
        <v>- Local: GUAIRA - PR</v>
      </c>
      <c r="C1785" s="121"/>
      <c r="D1785" s="121"/>
      <c r="E1785" s="121"/>
      <c r="F1785" s="121"/>
      <c r="G1785" s="121"/>
      <c r="H1785" s="121"/>
      <c r="I1785" s="121"/>
      <c r="J1785" s="121"/>
      <c r="K1785" s="121"/>
      <c r="L1785" s="121"/>
      <c r="M1785" s="121"/>
      <c r="N1785" s="121"/>
      <c r="O1785" s="121"/>
      <c r="P1785" s="121"/>
      <c r="Q1785" s="121"/>
      <c r="R1785" s="121"/>
      <c r="S1785" s="121"/>
      <c r="T1785" s="121"/>
      <c r="U1785" s="121"/>
      <c r="V1785" s="121"/>
      <c r="W1785" s="121"/>
      <c r="X1785" s="121"/>
      <c r="Y1785" s="121"/>
      <c r="Z1785" s="121"/>
      <c r="AA1785" s="121"/>
      <c r="AB1785" s="121"/>
    </row>
    <row r="1786" spans="2:29" ht="13.5" customHeight="1">
      <c r="B1786" s="98" t="str">
        <f>CONCATENATE("- Periodo: ",INFO!$C$10," a ",INFO!$C$19)</f>
        <v xml:space="preserve">- Periodo: 22/7/2025  a 23/8/2025 </v>
      </c>
      <c r="C1786" s="121"/>
      <c r="D1786" s="121"/>
      <c r="E1786" s="121"/>
      <c r="F1786" s="121"/>
      <c r="G1786" s="121"/>
      <c r="H1786" s="121"/>
      <c r="I1786" s="121"/>
      <c r="J1786" s="121"/>
      <c r="K1786" s="121"/>
      <c r="L1786" s="121"/>
      <c r="M1786" s="121"/>
      <c r="N1786" s="121"/>
      <c r="O1786" s="121"/>
      <c r="P1786" s="121"/>
      <c r="Q1786" s="121"/>
      <c r="R1786" s="121"/>
      <c r="S1786" s="121"/>
      <c r="T1786" s="121"/>
      <c r="U1786" s="121"/>
      <c r="V1786" s="121"/>
      <c r="W1786" s="121"/>
      <c r="X1786" s="121"/>
      <c r="Y1786" s="121"/>
      <c r="Z1786" s="121"/>
      <c r="AA1786" s="121"/>
      <c r="AB1786" s="121"/>
    </row>
    <row r="1787" spans="2:29" ht="13.5" customHeight="1">
      <c r="B1787" s="98" t="str">
        <f>CONCATENATE("- Nr Dias: ",INFO!$C$20)</f>
        <v>- Nr Dias: 33</v>
      </c>
      <c r="C1787" s="121"/>
      <c r="D1787" s="121"/>
      <c r="E1787" s="121"/>
      <c r="F1787" s="121"/>
      <c r="G1787" s="121"/>
      <c r="H1787" s="121"/>
      <c r="I1787" s="121"/>
      <c r="J1787" s="121"/>
      <c r="K1787" s="121"/>
      <c r="L1787" s="121"/>
      <c r="M1787" s="121"/>
      <c r="N1787" s="121"/>
      <c r="O1787" s="121"/>
      <c r="P1787" s="121"/>
      <c r="Q1787" s="121"/>
      <c r="R1787" s="121"/>
      <c r="S1787" s="121"/>
      <c r="T1787" s="121"/>
      <c r="U1787" s="121"/>
      <c r="V1787" s="121"/>
      <c r="W1787" s="121"/>
      <c r="X1787" s="121"/>
      <c r="Y1787" s="121"/>
      <c r="Z1787" s="121"/>
      <c r="AA1787" s="121"/>
      <c r="AB1787" s="121"/>
    </row>
    <row r="1788" spans="2:29" ht="13.5" customHeight="1">
      <c r="B1788" s="98" t="str">
        <f>CONCATENATE("- Valor Estimado: R$ ",INDEX(QSGR!$J$16:$J$11170,AC1781))</f>
        <v xml:space="preserve">- Valor Estimado: R$ </v>
      </c>
      <c r="C1788" s="121"/>
      <c r="D1788" s="121"/>
      <c r="E1788" s="121"/>
      <c r="F1788" s="121"/>
      <c r="G1788" s="121"/>
      <c r="H1788" s="121"/>
      <c r="I1788" s="121"/>
      <c r="J1788" s="121"/>
      <c r="K1788" s="121"/>
      <c r="L1788" s="121"/>
      <c r="M1788" s="121"/>
      <c r="N1788" s="121"/>
      <c r="O1788" s="121"/>
      <c r="P1788" s="121"/>
      <c r="Q1788" s="121"/>
      <c r="R1788" s="121"/>
      <c r="S1788" s="121"/>
      <c r="T1788" s="121"/>
      <c r="U1788" s="121"/>
      <c r="V1788" s="121"/>
      <c r="W1788" s="121"/>
      <c r="X1788" s="121"/>
      <c r="Y1788" s="121"/>
      <c r="Z1788" s="121"/>
      <c r="AA1788" s="121"/>
      <c r="AB1788" s="121"/>
    </row>
    <row r="1789" spans="2:29" ht="13.5" customHeight="1">
      <c r="B1789" s="100"/>
      <c r="C1789" s="121"/>
      <c r="D1789" s="121"/>
      <c r="E1789" s="121"/>
      <c r="F1789" s="121"/>
      <c r="G1789" s="121"/>
      <c r="H1789" s="121"/>
      <c r="I1789" s="121"/>
      <c r="J1789" s="121"/>
      <c r="K1789" s="121"/>
      <c r="L1789" s="121"/>
      <c r="M1789" s="121"/>
      <c r="N1789" s="121"/>
      <c r="O1789" s="121"/>
      <c r="P1789" s="121"/>
      <c r="Q1789" s="121"/>
      <c r="R1789" s="121"/>
      <c r="S1789" s="121"/>
      <c r="T1789" s="121"/>
      <c r="U1789" s="121"/>
      <c r="V1789" s="121"/>
      <c r="W1789" s="121"/>
      <c r="X1789" s="121"/>
      <c r="Y1789" s="121"/>
      <c r="Z1789" s="121"/>
      <c r="AA1789" s="121"/>
      <c r="AB1789" s="121"/>
    </row>
    <row r="1790" spans="2:29" ht="13.5" customHeight="1">
      <c r="B1790" s="98" t="s">
        <v>55</v>
      </c>
      <c r="C1790" s="121"/>
      <c r="D1790" s="121"/>
      <c r="E1790" s="121"/>
      <c r="F1790" s="121"/>
      <c r="G1790" s="121"/>
      <c r="H1790" s="121"/>
      <c r="I1790" s="121"/>
      <c r="J1790" s="121"/>
      <c r="K1790" s="121"/>
      <c r="L1790" s="121"/>
      <c r="M1790" s="121"/>
      <c r="N1790" s="121"/>
      <c r="O1790" s="121"/>
      <c r="P1790" s="121"/>
      <c r="Q1790" s="121"/>
      <c r="R1790" s="121"/>
      <c r="S1790" s="121"/>
      <c r="T1790" s="121"/>
      <c r="U1790" s="121"/>
      <c r="V1790" s="121"/>
      <c r="W1790" s="121"/>
      <c r="X1790" s="121"/>
      <c r="Y1790" s="121"/>
      <c r="Z1790" s="121"/>
      <c r="AA1790" s="121"/>
      <c r="AB1790" s="121"/>
      <c r="AC1790" s="37">
        <f>AC1781+1</f>
        <v>199</v>
      </c>
    </row>
    <row r="1791" spans="2:29" ht="13.5" customHeight="1">
      <c r="B1791" s="99">
        <f>INDEX(QSGR!$B$16:$B$1570,AC1790)</f>
        <v>0</v>
      </c>
      <c r="C1791" s="121"/>
      <c r="D1791" s="121"/>
      <c r="E1791" s="97">
        <f>INDEX(QSGR!$D$16:$D$11170,AC1790)</f>
        <v>0</v>
      </c>
      <c r="F1791" s="121"/>
      <c r="G1791" s="121"/>
      <c r="H1791" s="121"/>
      <c r="I1791" s="121"/>
      <c r="J1791" s="121"/>
      <c r="K1791" s="121"/>
      <c r="L1791" s="121"/>
      <c r="M1791" s="121"/>
      <c r="N1791" s="121"/>
      <c r="O1791" s="121"/>
      <c r="P1791" s="121"/>
      <c r="Q1791" s="121"/>
      <c r="R1791" s="121"/>
      <c r="S1791" s="121"/>
      <c r="T1791" s="121"/>
      <c r="U1791" s="121"/>
      <c r="V1791" s="121"/>
      <c r="W1791" s="121"/>
      <c r="X1791" s="121"/>
      <c r="Y1791" s="121"/>
      <c r="Z1791" s="121"/>
      <c r="AA1791" s="121"/>
      <c r="AB1791" s="121"/>
    </row>
    <row r="1792" spans="2:29" ht="13.5" customHeight="1">
      <c r="B1792" s="96" t="str">
        <f>CONCATENATE("- Evento: ",INFO!$B$22)</f>
        <v>- Evento: PARTICIPAR DA OPERAÇÃO HORUS.</v>
      </c>
      <c r="C1792" s="121"/>
      <c r="D1792" s="121"/>
      <c r="E1792" s="121"/>
      <c r="F1792" s="121"/>
      <c r="G1792" s="121"/>
      <c r="H1792" s="121"/>
      <c r="I1792" s="121"/>
      <c r="J1792" s="121"/>
      <c r="K1792" s="121"/>
      <c r="L1792" s="121"/>
      <c r="M1792" s="121"/>
      <c r="N1792" s="121"/>
      <c r="O1792" s="121"/>
      <c r="P1792" s="121"/>
      <c r="Q1792" s="121"/>
      <c r="R1792" s="121"/>
      <c r="S1792" s="121"/>
      <c r="T1792" s="121"/>
      <c r="U1792" s="121"/>
      <c r="V1792" s="121"/>
      <c r="W1792" s="121"/>
      <c r="X1792" s="121"/>
      <c r="Y1792" s="121"/>
      <c r="Z1792" s="121"/>
      <c r="AA1792" s="121"/>
      <c r="AB1792" s="121"/>
    </row>
    <row r="1793" spans="2:29" ht="13.5" customHeight="1">
      <c r="B1793" s="98" t="str">
        <f>CONCATENATE("- Documento de Solicitação: ",INFO!$B$24)</f>
        <v>- Documento de Solicitação: TESTE AZUL</v>
      </c>
      <c r="C1793" s="121"/>
      <c r="D1793" s="121"/>
      <c r="E1793" s="121"/>
      <c r="F1793" s="121"/>
      <c r="G1793" s="121"/>
      <c r="H1793" s="121"/>
      <c r="I1793" s="121"/>
      <c r="J1793" s="121"/>
      <c r="K1793" s="121"/>
      <c r="L1793" s="121"/>
      <c r="M1793" s="121"/>
      <c r="N1793" s="121"/>
      <c r="O1793" s="121"/>
      <c r="P1793" s="121"/>
      <c r="Q1793" s="121"/>
      <c r="R1793" s="121"/>
      <c r="S1793" s="121"/>
      <c r="T1793" s="121"/>
      <c r="U1793" s="121"/>
      <c r="V1793" s="121"/>
      <c r="W1793" s="121"/>
      <c r="X1793" s="121"/>
      <c r="Y1793" s="121"/>
      <c r="Z1793" s="121"/>
      <c r="AA1793" s="121"/>
      <c r="AB1793" s="121"/>
    </row>
    <row r="1794" spans="2:29" ht="13.5" customHeight="1">
      <c r="B1794" s="98" t="str">
        <f>CONCATENATE("- Local: ",INFO!$C$18)</f>
        <v>- Local: GUAIRA - PR</v>
      </c>
      <c r="C1794" s="121"/>
      <c r="D1794" s="121"/>
      <c r="E1794" s="121"/>
      <c r="F1794" s="121"/>
      <c r="G1794" s="121"/>
      <c r="H1794" s="121"/>
      <c r="I1794" s="121"/>
      <c r="J1794" s="121"/>
      <c r="K1794" s="121"/>
      <c r="L1794" s="121"/>
      <c r="M1794" s="121"/>
      <c r="N1794" s="121"/>
      <c r="O1794" s="121"/>
      <c r="P1794" s="121"/>
      <c r="Q1794" s="121"/>
      <c r="R1794" s="121"/>
      <c r="S1794" s="121"/>
      <c r="T1794" s="121"/>
      <c r="U1794" s="121"/>
      <c r="V1794" s="121"/>
      <c r="W1794" s="121"/>
      <c r="X1794" s="121"/>
      <c r="Y1794" s="121"/>
      <c r="Z1794" s="121"/>
      <c r="AA1794" s="121"/>
      <c r="AB1794" s="121"/>
    </row>
    <row r="1795" spans="2:29" ht="13.5" customHeight="1">
      <c r="B1795" s="98" t="str">
        <f>CONCATENATE("- Periodo: ",INFO!$C$10," a ",INFO!$C$19)</f>
        <v xml:space="preserve">- Periodo: 22/7/2025  a 23/8/2025 </v>
      </c>
      <c r="C1795" s="121"/>
      <c r="D1795" s="121"/>
      <c r="E1795" s="121"/>
      <c r="F1795" s="121"/>
      <c r="G1795" s="121"/>
      <c r="H1795" s="121"/>
      <c r="I1795" s="121"/>
      <c r="J1795" s="121"/>
      <c r="K1795" s="121"/>
      <c r="L1795" s="121"/>
      <c r="M1795" s="121"/>
      <c r="N1795" s="121"/>
      <c r="O1795" s="121"/>
      <c r="P1795" s="121"/>
      <c r="Q1795" s="121"/>
      <c r="R1795" s="121"/>
      <c r="S1795" s="121"/>
      <c r="T1795" s="121"/>
      <c r="U1795" s="121"/>
      <c r="V1795" s="121"/>
      <c r="W1795" s="121"/>
      <c r="X1795" s="121"/>
      <c r="Y1795" s="121"/>
      <c r="Z1795" s="121"/>
      <c r="AA1795" s="121"/>
      <c r="AB1795" s="121"/>
    </row>
    <row r="1796" spans="2:29" ht="13.5" customHeight="1">
      <c r="B1796" s="98" t="str">
        <f>CONCATENATE("- Nr Dias: ",INFO!$C$20)</f>
        <v>- Nr Dias: 33</v>
      </c>
      <c r="C1796" s="121"/>
      <c r="D1796" s="121"/>
      <c r="E1796" s="121"/>
      <c r="F1796" s="121"/>
      <c r="G1796" s="121"/>
      <c r="H1796" s="121"/>
      <c r="I1796" s="121"/>
      <c r="J1796" s="121"/>
      <c r="K1796" s="121"/>
      <c r="L1796" s="121"/>
      <c r="M1796" s="121"/>
      <c r="N1796" s="121"/>
      <c r="O1796" s="121"/>
      <c r="P1796" s="121"/>
      <c r="Q1796" s="121"/>
      <c r="R1796" s="121"/>
      <c r="S1796" s="121"/>
      <c r="T1796" s="121"/>
      <c r="U1796" s="121"/>
      <c r="V1796" s="121"/>
      <c r="W1796" s="121"/>
      <c r="X1796" s="121"/>
      <c r="Y1796" s="121"/>
      <c r="Z1796" s="121"/>
      <c r="AA1796" s="121"/>
      <c r="AB1796" s="121"/>
    </row>
    <row r="1797" spans="2:29" ht="13.5" customHeight="1">
      <c r="B1797" s="98" t="str">
        <f>CONCATENATE("- Valor Estimado: R$ ",INDEX(QSGR!$J$16:$J$11170,AC1790))</f>
        <v xml:space="preserve">- Valor Estimado: R$ </v>
      </c>
      <c r="C1797" s="121"/>
      <c r="D1797" s="121"/>
      <c r="E1797" s="121"/>
      <c r="F1797" s="121"/>
      <c r="G1797" s="121"/>
      <c r="H1797" s="121"/>
      <c r="I1797" s="121"/>
      <c r="J1797" s="121"/>
      <c r="K1797" s="121"/>
      <c r="L1797" s="121"/>
      <c r="M1797" s="121"/>
      <c r="N1797" s="121"/>
      <c r="O1797" s="121"/>
      <c r="P1797" s="121"/>
      <c r="Q1797" s="121"/>
      <c r="R1797" s="121"/>
      <c r="S1797" s="121"/>
      <c r="T1797" s="121"/>
      <c r="U1797" s="121"/>
      <c r="V1797" s="121"/>
      <c r="W1797" s="121"/>
      <c r="X1797" s="121"/>
      <c r="Y1797" s="121"/>
      <c r="Z1797" s="121"/>
      <c r="AA1797" s="121"/>
      <c r="AB1797" s="121"/>
    </row>
    <row r="1798" spans="2:29" ht="13.5" customHeight="1">
      <c r="B1798" s="100"/>
      <c r="C1798" s="121"/>
      <c r="D1798" s="121"/>
      <c r="E1798" s="121"/>
      <c r="F1798" s="121"/>
      <c r="G1798" s="121"/>
      <c r="H1798" s="121"/>
      <c r="I1798" s="121"/>
      <c r="J1798" s="121"/>
      <c r="K1798" s="121"/>
      <c r="L1798" s="121"/>
      <c r="M1798" s="121"/>
      <c r="N1798" s="121"/>
      <c r="O1798" s="121"/>
      <c r="P1798" s="121"/>
      <c r="Q1798" s="121"/>
      <c r="R1798" s="121"/>
      <c r="S1798" s="121"/>
      <c r="T1798" s="121"/>
      <c r="U1798" s="121"/>
      <c r="V1798" s="121"/>
      <c r="W1798" s="121"/>
      <c r="X1798" s="121"/>
      <c r="Y1798" s="121"/>
      <c r="Z1798" s="121"/>
      <c r="AA1798" s="121"/>
      <c r="AB1798" s="121"/>
    </row>
    <row r="1799" spans="2:29" ht="13.5" customHeight="1">
      <c r="B1799" s="98" t="s">
        <v>55</v>
      </c>
      <c r="C1799" s="121"/>
      <c r="D1799" s="121"/>
      <c r="E1799" s="121"/>
      <c r="F1799" s="121"/>
      <c r="G1799" s="121"/>
      <c r="H1799" s="121"/>
      <c r="I1799" s="121"/>
      <c r="J1799" s="121"/>
      <c r="K1799" s="121"/>
      <c r="L1799" s="121"/>
      <c r="M1799" s="121"/>
      <c r="N1799" s="121"/>
      <c r="O1799" s="121"/>
      <c r="P1799" s="121"/>
      <c r="Q1799" s="121"/>
      <c r="R1799" s="121"/>
      <c r="S1799" s="121"/>
      <c r="T1799" s="121"/>
      <c r="U1799" s="121"/>
      <c r="V1799" s="121"/>
      <c r="W1799" s="121"/>
      <c r="X1799" s="121"/>
      <c r="Y1799" s="121"/>
      <c r="Z1799" s="121"/>
      <c r="AA1799" s="121"/>
      <c r="AB1799" s="121"/>
      <c r="AC1799" s="37">
        <f>AC1790+1</f>
        <v>200</v>
      </c>
    </row>
    <row r="1800" spans="2:29" ht="13.5" customHeight="1">
      <c r="B1800" s="99">
        <f>INDEX(QSGR!$B$16:$B$1570,AC1799)</f>
        <v>0</v>
      </c>
      <c r="C1800" s="121"/>
      <c r="D1800" s="121"/>
      <c r="E1800" s="97">
        <f>INDEX(QSGR!$D$16:$D$11170,AC1799)</f>
        <v>0</v>
      </c>
      <c r="F1800" s="121"/>
      <c r="G1800" s="121"/>
      <c r="H1800" s="121"/>
      <c r="I1800" s="121"/>
      <c r="J1800" s="121"/>
      <c r="K1800" s="121"/>
      <c r="L1800" s="121"/>
      <c r="M1800" s="121"/>
      <c r="N1800" s="121"/>
      <c r="O1800" s="121"/>
      <c r="P1800" s="121"/>
      <c r="Q1800" s="121"/>
      <c r="R1800" s="121"/>
      <c r="S1800" s="121"/>
      <c r="T1800" s="121"/>
      <c r="U1800" s="121"/>
      <c r="V1800" s="121"/>
      <c r="W1800" s="121"/>
      <c r="X1800" s="121"/>
      <c r="Y1800" s="121"/>
      <c r="Z1800" s="121"/>
      <c r="AA1800" s="121"/>
      <c r="AB1800" s="121"/>
    </row>
    <row r="1801" spans="2:29" ht="13.5" customHeight="1">
      <c r="B1801" s="96" t="str">
        <f>CONCATENATE("- Evento: ",INFO!$B$22)</f>
        <v>- Evento: PARTICIPAR DA OPERAÇÃO HORUS.</v>
      </c>
      <c r="C1801" s="121"/>
      <c r="D1801" s="121"/>
      <c r="E1801" s="121"/>
      <c r="F1801" s="121"/>
      <c r="G1801" s="121"/>
      <c r="H1801" s="121"/>
      <c r="I1801" s="121"/>
      <c r="J1801" s="121"/>
      <c r="K1801" s="121"/>
      <c r="L1801" s="121"/>
      <c r="M1801" s="121"/>
      <c r="N1801" s="121"/>
      <c r="O1801" s="121"/>
      <c r="P1801" s="121"/>
      <c r="Q1801" s="121"/>
      <c r="R1801" s="121"/>
      <c r="S1801" s="121"/>
      <c r="T1801" s="121"/>
      <c r="U1801" s="121"/>
      <c r="V1801" s="121"/>
      <c r="W1801" s="121"/>
      <c r="X1801" s="121"/>
      <c r="Y1801" s="121"/>
      <c r="Z1801" s="121"/>
      <c r="AA1801" s="121"/>
      <c r="AB1801" s="121"/>
    </row>
    <row r="1802" spans="2:29" ht="13.5" customHeight="1">
      <c r="B1802" s="98" t="str">
        <f>CONCATENATE("- Documento de Solicitação: ",INFO!$B$24)</f>
        <v>- Documento de Solicitação: TESTE AZUL</v>
      </c>
      <c r="C1802" s="121"/>
      <c r="D1802" s="121"/>
      <c r="E1802" s="121"/>
      <c r="F1802" s="121"/>
      <c r="G1802" s="121"/>
      <c r="H1802" s="121"/>
      <c r="I1802" s="121"/>
      <c r="J1802" s="121"/>
      <c r="K1802" s="121"/>
      <c r="L1802" s="121"/>
      <c r="M1802" s="121"/>
      <c r="N1802" s="121"/>
      <c r="O1802" s="121"/>
      <c r="P1802" s="121"/>
      <c r="Q1802" s="121"/>
      <c r="R1802" s="121"/>
      <c r="S1802" s="121"/>
      <c r="T1802" s="121"/>
      <c r="U1802" s="121"/>
      <c r="V1802" s="121"/>
      <c r="W1802" s="121"/>
      <c r="X1802" s="121"/>
      <c r="Y1802" s="121"/>
      <c r="Z1802" s="121"/>
      <c r="AA1802" s="121"/>
      <c r="AB1802" s="121"/>
    </row>
    <row r="1803" spans="2:29" ht="13.5" customHeight="1">
      <c r="B1803" s="98" t="str">
        <f>CONCATENATE("- Local: ",INFO!$C$18)</f>
        <v>- Local: GUAIRA - PR</v>
      </c>
      <c r="C1803" s="121"/>
      <c r="D1803" s="121"/>
      <c r="E1803" s="121"/>
      <c r="F1803" s="121"/>
      <c r="G1803" s="121"/>
      <c r="H1803" s="121"/>
      <c r="I1803" s="121"/>
      <c r="J1803" s="121"/>
      <c r="K1803" s="121"/>
      <c r="L1803" s="121"/>
      <c r="M1803" s="121"/>
      <c r="N1803" s="121"/>
      <c r="O1803" s="121"/>
      <c r="P1803" s="121"/>
      <c r="Q1803" s="121"/>
      <c r="R1803" s="121"/>
      <c r="S1803" s="121"/>
      <c r="T1803" s="121"/>
      <c r="U1803" s="121"/>
      <c r="V1803" s="121"/>
      <c r="W1803" s="121"/>
      <c r="X1803" s="121"/>
      <c r="Y1803" s="121"/>
      <c r="Z1803" s="121"/>
      <c r="AA1803" s="121"/>
      <c r="AB1803" s="121"/>
    </row>
    <row r="1804" spans="2:29" ht="13.5" customHeight="1">
      <c r="B1804" s="98" t="str">
        <f>CONCATENATE("- Periodo: ",INFO!$C$10," a ",INFO!$C$19)</f>
        <v xml:space="preserve">- Periodo: 22/7/2025  a 23/8/2025 </v>
      </c>
      <c r="C1804" s="121"/>
      <c r="D1804" s="121"/>
      <c r="E1804" s="121"/>
      <c r="F1804" s="121"/>
      <c r="G1804" s="121"/>
      <c r="H1804" s="121"/>
      <c r="I1804" s="121"/>
      <c r="J1804" s="121"/>
      <c r="K1804" s="121"/>
      <c r="L1804" s="121"/>
      <c r="M1804" s="121"/>
      <c r="N1804" s="121"/>
      <c r="O1804" s="121"/>
      <c r="P1804" s="121"/>
      <c r="Q1804" s="121"/>
      <c r="R1804" s="121"/>
      <c r="S1804" s="121"/>
      <c r="T1804" s="121"/>
      <c r="U1804" s="121"/>
      <c r="V1804" s="121"/>
      <c r="W1804" s="121"/>
      <c r="X1804" s="121"/>
      <c r="Y1804" s="121"/>
      <c r="Z1804" s="121"/>
      <c r="AA1804" s="121"/>
      <c r="AB1804" s="121"/>
    </row>
    <row r="1805" spans="2:29" ht="13.5" customHeight="1">
      <c r="B1805" s="98" t="str">
        <f>CONCATENATE("- Nr Dias: ",INFO!$C$20)</f>
        <v>- Nr Dias: 33</v>
      </c>
      <c r="C1805" s="121"/>
      <c r="D1805" s="121"/>
      <c r="E1805" s="121"/>
      <c r="F1805" s="121"/>
      <c r="G1805" s="121"/>
      <c r="H1805" s="121"/>
      <c r="I1805" s="121"/>
      <c r="J1805" s="121"/>
      <c r="K1805" s="121"/>
      <c r="L1805" s="121"/>
      <c r="M1805" s="121"/>
      <c r="N1805" s="121"/>
      <c r="O1805" s="121"/>
      <c r="P1805" s="121"/>
      <c r="Q1805" s="121"/>
      <c r="R1805" s="121"/>
      <c r="S1805" s="121"/>
      <c r="T1805" s="121"/>
      <c r="U1805" s="121"/>
      <c r="V1805" s="121"/>
      <c r="W1805" s="121"/>
      <c r="X1805" s="121"/>
      <c r="Y1805" s="121"/>
      <c r="Z1805" s="121"/>
      <c r="AA1805" s="121"/>
      <c r="AB1805" s="121"/>
    </row>
    <row r="1806" spans="2:29" ht="13.5" customHeight="1">
      <c r="B1806" s="98" t="str">
        <f>CONCATENATE("- Valor Estimado: R$ ",INDEX(QSGR!$J$16:$J$11170,AC1799))</f>
        <v xml:space="preserve">- Valor Estimado: R$ </v>
      </c>
      <c r="C1806" s="121"/>
      <c r="D1806" s="121"/>
      <c r="E1806" s="121"/>
      <c r="F1806" s="121"/>
      <c r="G1806" s="121"/>
      <c r="H1806" s="121"/>
      <c r="I1806" s="121"/>
      <c r="J1806" s="121"/>
      <c r="K1806" s="121"/>
      <c r="L1806" s="121"/>
      <c r="M1806" s="121"/>
      <c r="N1806" s="121"/>
      <c r="O1806" s="121"/>
      <c r="P1806" s="121"/>
      <c r="Q1806" s="121"/>
      <c r="R1806" s="121"/>
      <c r="S1806" s="121"/>
      <c r="T1806" s="121"/>
      <c r="U1806" s="121"/>
      <c r="V1806" s="121"/>
      <c r="W1806" s="121"/>
      <c r="X1806" s="121"/>
      <c r="Y1806" s="121"/>
      <c r="Z1806" s="121"/>
      <c r="AA1806" s="121"/>
      <c r="AB1806" s="121"/>
    </row>
    <row r="1807" spans="2:29" ht="13.5" customHeight="1">
      <c r="B1807" s="100"/>
      <c r="C1807" s="121"/>
      <c r="D1807" s="121"/>
      <c r="E1807" s="121"/>
      <c r="F1807" s="121"/>
      <c r="G1807" s="121"/>
      <c r="H1807" s="121"/>
      <c r="I1807" s="121"/>
      <c r="J1807" s="121"/>
      <c r="K1807" s="121"/>
      <c r="L1807" s="121"/>
      <c r="M1807" s="121"/>
      <c r="N1807" s="121"/>
      <c r="O1807" s="121"/>
      <c r="P1807" s="121"/>
      <c r="Q1807" s="121"/>
      <c r="R1807" s="121"/>
      <c r="S1807" s="121"/>
      <c r="T1807" s="121"/>
      <c r="U1807" s="121"/>
      <c r="V1807" s="121"/>
      <c r="W1807" s="121"/>
      <c r="X1807" s="121"/>
      <c r="Y1807" s="121"/>
      <c r="Z1807" s="121"/>
      <c r="AA1807" s="121"/>
      <c r="AB1807" s="121"/>
    </row>
    <row r="1808" spans="2:29" ht="13.5" customHeight="1">
      <c r="B1808" s="98" t="s">
        <v>55</v>
      </c>
      <c r="C1808" s="121"/>
      <c r="D1808" s="121"/>
      <c r="E1808" s="121"/>
      <c r="F1808" s="121"/>
      <c r="G1808" s="121"/>
      <c r="H1808" s="121"/>
      <c r="I1808" s="121"/>
      <c r="J1808" s="121"/>
      <c r="K1808" s="121"/>
      <c r="L1808" s="121"/>
      <c r="M1808" s="121"/>
      <c r="N1808" s="121"/>
      <c r="O1808" s="121"/>
      <c r="P1808" s="121"/>
      <c r="Q1808" s="121"/>
      <c r="R1808" s="121"/>
      <c r="S1808" s="121"/>
      <c r="T1808" s="121"/>
      <c r="U1808" s="121"/>
      <c r="V1808" s="121"/>
      <c r="W1808" s="121"/>
      <c r="X1808" s="121"/>
      <c r="Y1808" s="121"/>
      <c r="Z1808" s="121"/>
      <c r="AA1808" s="121"/>
      <c r="AB1808" s="121"/>
      <c r="AC1808" s="37">
        <f>AC1799+1</f>
        <v>201</v>
      </c>
    </row>
    <row r="1809" spans="2:28" ht="13.5" customHeight="1">
      <c r="B1809" s="99">
        <f>INDEX(QSGR!$B$16:$B$1570,AC1808)</f>
        <v>0</v>
      </c>
      <c r="C1809" s="121"/>
      <c r="D1809" s="121"/>
      <c r="E1809" s="97">
        <f>INDEX(QSGR!$D$16:$D$11170,AC1808)</f>
        <v>0</v>
      </c>
      <c r="F1809" s="121"/>
      <c r="G1809" s="121"/>
      <c r="H1809" s="121"/>
      <c r="I1809" s="121"/>
      <c r="J1809" s="121"/>
      <c r="K1809" s="121"/>
      <c r="L1809" s="121"/>
      <c r="M1809" s="121"/>
      <c r="N1809" s="121"/>
      <c r="O1809" s="121"/>
      <c r="P1809" s="121"/>
      <c r="Q1809" s="121"/>
      <c r="R1809" s="121"/>
      <c r="S1809" s="121"/>
      <c r="T1809" s="121"/>
      <c r="U1809" s="121"/>
      <c r="V1809" s="121"/>
      <c r="W1809" s="121"/>
      <c r="X1809" s="121"/>
      <c r="Y1809" s="121"/>
      <c r="Z1809" s="121"/>
      <c r="AA1809" s="121"/>
      <c r="AB1809" s="121"/>
    </row>
    <row r="1810" spans="2:28" ht="13.5" customHeight="1">
      <c r="B1810" s="96" t="str">
        <f>CONCATENATE("- Evento: ",INFO!$B$22)</f>
        <v>- Evento: PARTICIPAR DA OPERAÇÃO HORUS.</v>
      </c>
      <c r="C1810" s="121"/>
      <c r="D1810" s="121"/>
      <c r="E1810" s="121"/>
      <c r="F1810" s="121"/>
      <c r="G1810" s="121"/>
      <c r="H1810" s="121"/>
      <c r="I1810" s="121"/>
      <c r="J1810" s="121"/>
      <c r="K1810" s="121"/>
      <c r="L1810" s="121"/>
      <c r="M1810" s="121"/>
      <c r="N1810" s="121"/>
      <c r="O1810" s="121"/>
      <c r="P1810" s="121"/>
      <c r="Q1810" s="121"/>
      <c r="R1810" s="121"/>
      <c r="S1810" s="121"/>
      <c r="T1810" s="121"/>
      <c r="U1810" s="121"/>
      <c r="V1810" s="121"/>
      <c r="W1810" s="121"/>
      <c r="X1810" s="121"/>
      <c r="Y1810" s="121"/>
      <c r="Z1810" s="121"/>
      <c r="AA1810" s="121"/>
      <c r="AB1810" s="121"/>
    </row>
    <row r="1811" spans="2:28" ht="13.5" customHeight="1">
      <c r="B1811" s="98" t="str">
        <f>CONCATENATE("- Documento de Solicitação: ",INFO!$B$24)</f>
        <v>- Documento de Solicitação: TESTE AZUL</v>
      </c>
      <c r="C1811" s="121"/>
      <c r="D1811" s="121"/>
      <c r="E1811" s="121"/>
      <c r="F1811" s="121"/>
      <c r="G1811" s="121"/>
      <c r="H1811" s="121"/>
      <c r="I1811" s="121"/>
      <c r="J1811" s="121"/>
      <c r="K1811" s="121"/>
      <c r="L1811" s="121"/>
      <c r="M1811" s="121"/>
      <c r="N1811" s="121"/>
      <c r="O1811" s="121"/>
      <c r="P1811" s="121"/>
      <c r="Q1811" s="121"/>
      <c r="R1811" s="121"/>
      <c r="S1811" s="121"/>
      <c r="T1811" s="121"/>
      <c r="U1811" s="121"/>
      <c r="V1811" s="121"/>
      <c r="W1811" s="121"/>
      <c r="X1811" s="121"/>
      <c r="Y1811" s="121"/>
      <c r="Z1811" s="121"/>
      <c r="AA1811" s="121"/>
      <c r="AB1811" s="121"/>
    </row>
    <row r="1812" spans="2:28" ht="13.5" customHeight="1">
      <c r="B1812" s="98" t="str">
        <f>CONCATENATE("- Local: ",INFO!$C$18)</f>
        <v>- Local: GUAIRA - PR</v>
      </c>
      <c r="C1812" s="121"/>
      <c r="D1812" s="121"/>
      <c r="E1812" s="121"/>
      <c r="F1812" s="121"/>
      <c r="G1812" s="121"/>
      <c r="H1812" s="121"/>
      <c r="I1812" s="121"/>
      <c r="J1812" s="121"/>
      <c r="K1812" s="121"/>
      <c r="L1812" s="121"/>
      <c r="M1812" s="121"/>
      <c r="N1812" s="121"/>
      <c r="O1812" s="121"/>
      <c r="P1812" s="121"/>
      <c r="Q1812" s="121"/>
      <c r="R1812" s="121"/>
      <c r="S1812" s="121"/>
      <c r="T1812" s="121"/>
      <c r="U1812" s="121"/>
      <c r="V1812" s="121"/>
      <c r="W1812" s="121"/>
      <c r="X1812" s="121"/>
      <c r="Y1812" s="121"/>
      <c r="Z1812" s="121"/>
      <c r="AA1812" s="121"/>
      <c r="AB1812" s="121"/>
    </row>
    <row r="1813" spans="2:28" ht="13.5" customHeight="1">
      <c r="B1813" s="98" t="str">
        <f>CONCATENATE("- Periodo: ",INFO!$C$10," a ",INFO!$C$19)</f>
        <v xml:space="preserve">- Periodo: 22/7/2025  a 23/8/2025 </v>
      </c>
      <c r="C1813" s="121"/>
      <c r="D1813" s="121"/>
      <c r="E1813" s="121"/>
      <c r="F1813" s="121"/>
      <c r="G1813" s="121"/>
      <c r="H1813" s="121"/>
      <c r="I1813" s="121"/>
      <c r="J1813" s="121"/>
      <c r="K1813" s="121"/>
      <c r="L1813" s="121"/>
      <c r="M1813" s="121"/>
      <c r="N1813" s="121"/>
      <c r="O1813" s="121"/>
      <c r="P1813" s="121"/>
      <c r="Q1813" s="121"/>
      <c r="R1813" s="121"/>
      <c r="S1813" s="121"/>
      <c r="T1813" s="121"/>
      <c r="U1813" s="121"/>
      <c r="V1813" s="121"/>
      <c r="W1813" s="121"/>
      <c r="X1813" s="121"/>
      <c r="Y1813" s="121"/>
      <c r="Z1813" s="121"/>
      <c r="AA1813" s="121"/>
      <c r="AB1813" s="121"/>
    </row>
    <row r="1814" spans="2:28" ht="13.5" customHeight="1">
      <c r="B1814" s="98" t="str">
        <f>CONCATENATE("- Nr Dias: ",INFO!$C$20)</f>
        <v>- Nr Dias: 33</v>
      </c>
      <c r="C1814" s="121"/>
      <c r="D1814" s="121"/>
      <c r="E1814" s="121"/>
      <c r="F1814" s="121"/>
      <c r="G1814" s="121"/>
      <c r="H1814" s="121"/>
      <c r="I1814" s="121"/>
      <c r="J1814" s="121"/>
      <c r="K1814" s="121"/>
      <c r="L1814" s="121"/>
      <c r="M1814" s="121"/>
      <c r="N1814" s="121"/>
      <c r="O1814" s="121"/>
      <c r="P1814" s="121"/>
      <c r="Q1814" s="121"/>
      <c r="R1814" s="121"/>
      <c r="S1814" s="121"/>
      <c r="T1814" s="121"/>
      <c r="U1814" s="121"/>
      <c r="V1814" s="121"/>
      <c r="W1814" s="121"/>
      <c r="X1814" s="121"/>
      <c r="Y1814" s="121"/>
      <c r="Z1814" s="121"/>
      <c r="AA1814" s="121"/>
      <c r="AB1814" s="121"/>
    </row>
    <row r="1815" spans="2:28" ht="13.5" customHeight="1">
      <c r="B1815" s="98" t="str">
        <f>CONCATENATE("- Valor Estimado: R$ ",INDEX(QSGR!$J$16:$J$11170,AC1808))</f>
        <v xml:space="preserve">- Valor Estimado: R$ </v>
      </c>
      <c r="C1815" s="121"/>
      <c r="D1815" s="121"/>
      <c r="E1815" s="121"/>
      <c r="F1815" s="121"/>
      <c r="G1815" s="121"/>
      <c r="H1815" s="121"/>
      <c r="I1815" s="121"/>
      <c r="J1815" s="121"/>
      <c r="K1815" s="121"/>
      <c r="L1815" s="121"/>
      <c r="M1815" s="121"/>
      <c r="N1815" s="121"/>
      <c r="O1815" s="121"/>
      <c r="P1815" s="121"/>
      <c r="Q1815" s="121"/>
      <c r="R1815" s="121"/>
      <c r="S1815" s="121"/>
      <c r="T1815" s="121"/>
      <c r="U1815" s="121"/>
      <c r="V1815" s="121"/>
      <c r="W1815" s="121"/>
      <c r="X1815" s="121"/>
      <c r="Y1815" s="121"/>
      <c r="Z1815" s="121"/>
      <c r="AA1815" s="121"/>
      <c r="AB1815" s="121"/>
    </row>
    <row r="1816" spans="2:28" ht="13.5" customHeight="1">
      <c r="B1816" s="100"/>
      <c r="C1816" s="121"/>
      <c r="D1816" s="121"/>
      <c r="E1816" s="121"/>
      <c r="F1816" s="121"/>
      <c r="G1816" s="121"/>
      <c r="H1816" s="121"/>
      <c r="I1816" s="121"/>
      <c r="J1816" s="121"/>
      <c r="K1816" s="121"/>
      <c r="L1816" s="121"/>
      <c r="M1816" s="121"/>
      <c r="N1816" s="121"/>
      <c r="O1816" s="121"/>
      <c r="P1816" s="121"/>
      <c r="Q1816" s="121"/>
      <c r="R1816" s="121"/>
      <c r="S1816" s="121"/>
      <c r="T1816" s="121"/>
      <c r="U1816" s="121"/>
      <c r="V1816" s="121"/>
      <c r="W1816" s="121"/>
      <c r="X1816" s="121"/>
      <c r="Y1816" s="121"/>
      <c r="Z1816" s="121"/>
      <c r="AA1816" s="121"/>
      <c r="AB1816" s="121"/>
    </row>
    <row r="1817" spans="2:28" ht="13.5" customHeight="1">
      <c r="B1817" s="98" t="s">
        <v>55</v>
      </c>
      <c r="C1817" s="121"/>
      <c r="D1817" s="121"/>
      <c r="E1817" s="121"/>
      <c r="F1817" s="121"/>
      <c r="G1817" s="121"/>
      <c r="H1817" s="121"/>
      <c r="I1817" s="121"/>
      <c r="J1817" s="121"/>
      <c r="K1817" s="121"/>
      <c r="L1817" s="121"/>
      <c r="M1817" s="121"/>
      <c r="N1817" s="121"/>
      <c r="O1817" s="121"/>
      <c r="P1817" s="121"/>
      <c r="Q1817" s="121"/>
      <c r="R1817" s="121"/>
      <c r="S1817" s="121"/>
      <c r="T1817" s="121"/>
      <c r="U1817" s="121"/>
      <c r="V1817" s="121"/>
      <c r="W1817" s="121"/>
      <c r="X1817" s="121"/>
      <c r="Y1817" s="121"/>
      <c r="Z1817" s="121"/>
      <c r="AA1817" s="121"/>
      <c r="AB1817" s="121"/>
    </row>
    <row r="1818" spans="2:28" ht="13.5" customHeight="1">
      <c r="B1818" s="99" t="e">
        <f>INDEX(QSGR!$B$16:$B$1570,AC1817)</f>
        <v>#VALUE!</v>
      </c>
      <c r="C1818" s="121"/>
      <c r="D1818" s="121"/>
      <c r="E1818" s="97">
        <f>INDEX(QSGR!$D$16:$D$11170,AC1817)</f>
        <v>0</v>
      </c>
      <c r="F1818" s="121"/>
      <c r="G1818" s="121"/>
      <c r="H1818" s="121"/>
      <c r="I1818" s="121"/>
      <c r="J1818" s="121"/>
      <c r="K1818" s="121"/>
      <c r="L1818" s="121"/>
      <c r="M1818" s="121"/>
      <c r="N1818" s="121"/>
      <c r="O1818" s="121"/>
      <c r="P1818" s="121"/>
      <c r="Q1818" s="121"/>
      <c r="R1818" s="121"/>
      <c r="S1818" s="121"/>
      <c r="T1818" s="121"/>
      <c r="U1818" s="121"/>
      <c r="V1818" s="121"/>
      <c r="W1818" s="121"/>
      <c r="X1818" s="121"/>
      <c r="Y1818" s="121"/>
      <c r="Z1818" s="121"/>
      <c r="AA1818" s="121"/>
      <c r="AB1818" s="121"/>
    </row>
    <row r="1819" spans="2:28" ht="13.5" customHeight="1">
      <c r="B1819" s="96" t="str">
        <f>CONCATENATE("- Evento: ",INFO!$B$22)</f>
        <v>- Evento: PARTICIPAR DA OPERAÇÃO HORUS.</v>
      </c>
      <c r="C1819" s="121"/>
      <c r="D1819" s="121"/>
      <c r="E1819" s="121"/>
      <c r="F1819" s="121"/>
      <c r="G1819" s="121"/>
      <c r="H1819" s="121"/>
      <c r="I1819" s="121"/>
      <c r="J1819" s="121"/>
      <c r="K1819" s="121"/>
      <c r="L1819" s="121"/>
      <c r="M1819" s="121"/>
      <c r="N1819" s="121"/>
      <c r="O1819" s="121"/>
      <c r="P1819" s="121"/>
      <c r="Q1819" s="121"/>
      <c r="R1819" s="121"/>
      <c r="S1819" s="121"/>
      <c r="T1819" s="121"/>
      <c r="U1819" s="121"/>
      <c r="V1819" s="121"/>
      <c r="W1819" s="121"/>
      <c r="X1819" s="121"/>
      <c r="Y1819" s="121"/>
      <c r="Z1819" s="121"/>
      <c r="AA1819" s="121"/>
      <c r="AB1819" s="121"/>
    </row>
    <row r="1820" spans="2:28" ht="13.5" customHeight="1">
      <c r="B1820" s="98" t="str">
        <f>CONCATENATE("- Documento de Solicitação: ",INFO!$B$24)</f>
        <v>- Documento de Solicitação: TESTE AZUL</v>
      </c>
      <c r="C1820" s="121"/>
      <c r="D1820" s="121"/>
      <c r="E1820" s="121"/>
      <c r="F1820" s="121"/>
      <c r="G1820" s="121"/>
      <c r="H1820" s="121"/>
      <c r="I1820" s="121"/>
      <c r="J1820" s="121"/>
      <c r="K1820" s="121"/>
      <c r="L1820" s="121"/>
      <c r="M1820" s="121"/>
      <c r="N1820" s="121"/>
      <c r="O1820" s="121"/>
      <c r="P1820" s="121"/>
      <c r="Q1820" s="121"/>
      <c r="R1820" s="121"/>
      <c r="S1820" s="121"/>
      <c r="T1820" s="121"/>
      <c r="U1820" s="121"/>
      <c r="V1820" s="121"/>
      <c r="W1820" s="121"/>
      <c r="X1820" s="121"/>
      <c r="Y1820" s="121"/>
      <c r="Z1820" s="121"/>
      <c r="AA1820" s="121"/>
      <c r="AB1820" s="121"/>
    </row>
    <row r="1821" spans="2:28" ht="13.5" customHeight="1">
      <c r="B1821" s="98" t="str">
        <f>CONCATENATE("- Local: ",INFO!$C$18)</f>
        <v>- Local: GUAIRA - PR</v>
      </c>
      <c r="C1821" s="121"/>
      <c r="D1821" s="121"/>
      <c r="E1821" s="121"/>
      <c r="F1821" s="121"/>
      <c r="G1821" s="121"/>
      <c r="H1821" s="121"/>
      <c r="I1821" s="121"/>
      <c r="J1821" s="121"/>
      <c r="K1821" s="121"/>
      <c r="L1821" s="121"/>
      <c r="M1821" s="121"/>
      <c r="N1821" s="121"/>
      <c r="O1821" s="121"/>
      <c r="P1821" s="121"/>
      <c r="Q1821" s="121"/>
      <c r="R1821" s="121"/>
      <c r="S1821" s="121"/>
      <c r="T1821" s="121"/>
      <c r="U1821" s="121"/>
      <c r="V1821" s="121"/>
      <c r="W1821" s="121"/>
      <c r="X1821" s="121"/>
      <c r="Y1821" s="121"/>
      <c r="Z1821" s="121"/>
      <c r="AA1821" s="121"/>
      <c r="AB1821" s="121"/>
    </row>
    <row r="1822" spans="2:28" ht="13.5" customHeight="1">
      <c r="B1822" s="98" t="str">
        <f>CONCATENATE("- Periodo: ",INFO!$C$10," a ",INFO!$C$19)</f>
        <v xml:space="preserve">- Periodo: 22/7/2025  a 23/8/2025 </v>
      </c>
      <c r="C1822" s="121"/>
      <c r="D1822" s="121"/>
      <c r="E1822" s="121"/>
      <c r="F1822" s="121"/>
      <c r="G1822" s="121"/>
      <c r="H1822" s="121"/>
      <c r="I1822" s="121"/>
      <c r="J1822" s="121"/>
      <c r="K1822" s="121"/>
      <c r="L1822" s="121"/>
      <c r="M1822" s="121"/>
      <c r="N1822" s="121"/>
      <c r="O1822" s="121"/>
      <c r="P1822" s="121"/>
      <c r="Q1822" s="121"/>
      <c r="R1822" s="121"/>
      <c r="S1822" s="121"/>
      <c r="T1822" s="121"/>
      <c r="U1822" s="121"/>
      <c r="V1822" s="121"/>
      <c r="W1822" s="121"/>
      <c r="X1822" s="121"/>
      <c r="Y1822" s="121"/>
      <c r="Z1822" s="121"/>
      <c r="AA1822" s="121"/>
      <c r="AB1822" s="121"/>
    </row>
    <row r="1823" spans="2:28" ht="13.5" customHeight="1">
      <c r="B1823" s="98" t="str">
        <f>CONCATENATE("- Nr Dias: ",INFO!$C$20)</f>
        <v>- Nr Dias: 33</v>
      </c>
      <c r="C1823" s="121"/>
      <c r="D1823" s="121"/>
      <c r="E1823" s="121"/>
      <c r="F1823" s="121"/>
      <c r="G1823" s="121"/>
      <c r="H1823" s="121"/>
      <c r="I1823" s="121"/>
      <c r="J1823" s="121"/>
      <c r="K1823" s="121"/>
      <c r="L1823" s="121"/>
      <c r="M1823" s="121"/>
      <c r="N1823" s="121"/>
      <c r="O1823" s="121"/>
      <c r="P1823" s="121"/>
      <c r="Q1823" s="121"/>
      <c r="R1823" s="121"/>
      <c r="S1823" s="121"/>
      <c r="T1823" s="121"/>
      <c r="U1823" s="121"/>
      <c r="V1823" s="121"/>
      <c r="W1823" s="121"/>
      <c r="X1823" s="121"/>
      <c r="Y1823" s="121"/>
      <c r="Z1823" s="121"/>
      <c r="AA1823" s="121"/>
      <c r="AB1823" s="121"/>
    </row>
    <row r="1824" spans="2:28" ht="13.5" customHeight="1">
      <c r="B1824" s="98" t="str">
        <f>CONCATENATE("- Valor Estimado: R$ ",INDEX(QSGR!$J$16:$J$11170,AC1817))</f>
        <v xml:space="preserve">- Valor Estimado: R$ </v>
      </c>
      <c r="C1824" s="121"/>
      <c r="D1824" s="121"/>
      <c r="E1824" s="121"/>
      <c r="F1824" s="121"/>
      <c r="G1824" s="121"/>
      <c r="H1824" s="121"/>
      <c r="I1824" s="121"/>
      <c r="J1824" s="121"/>
      <c r="K1824" s="121"/>
      <c r="L1824" s="121"/>
      <c r="M1824" s="121"/>
      <c r="N1824" s="121"/>
      <c r="O1824" s="121"/>
      <c r="P1824" s="121"/>
      <c r="Q1824" s="121"/>
      <c r="R1824" s="121"/>
      <c r="S1824" s="121"/>
      <c r="T1824" s="121"/>
      <c r="U1824" s="121"/>
      <c r="V1824" s="121"/>
      <c r="W1824" s="121"/>
      <c r="X1824" s="121"/>
      <c r="Y1824" s="121"/>
      <c r="Z1824" s="121"/>
      <c r="AA1824" s="121"/>
      <c r="AB1824" s="121"/>
    </row>
    <row r="1825" spans="2:28" ht="13.5" customHeight="1">
      <c r="B1825" s="100"/>
      <c r="C1825" s="121"/>
      <c r="D1825" s="121"/>
      <c r="E1825" s="121"/>
      <c r="F1825" s="121"/>
      <c r="G1825" s="121"/>
      <c r="H1825" s="121"/>
      <c r="I1825" s="121"/>
      <c r="J1825" s="121"/>
      <c r="K1825" s="121"/>
      <c r="L1825" s="121"/>
      <c r="M1825" s="121"/>
      <c r="N1825" s="121"/>
      <c r="O1825" s="121"/>
      <c r="P1825" s="121"/>
      <c r="Q1825" s="121"/>
      <c r="R1825" s="121"/>
      <c r="S1825" s="121"/>
      <c r="T1825" s="121"/>
      <c r="U1825" s="121"/>
      <c r="V1825" s="121"/>
      <c r="W1825" s="121"/>
      <c r="X1825" s="121"/>
      <c r="Y1825" s="121"/>
      <c r="Z1825" s="121"/>
      <c r="AA1825" s="121"/>
      <c r="AB1825" s="121"/>
    </row>
    <row r="1826" spans="2:28" ht="13.5" customHeight="1">
      <c r="B1826" s="98" t="s">
        <v>55</v>
      </c>
      <c r="C1826" s="121"/>
      <c r="D1826" s="121"/>
      <c r="E1826" s="121"/>
      <c r="F1826" s="121"/>
      <c r="G1826" s="121"/>
      <c r="H1826" s="121"/>
      <c r="I1826" s="121"/>
      <c r="J1826" s="121"/>
      <c r="K1826" s="121"/>
      <c r="L1826" s="121"/>
      <c r="M1826" s="121"/>
      <c r="N1826" s="121"/>
      <c r="O1826" s="121"/>
      <c r="P1826" s="121"/>
      <c r="Q1826" s="121"/>
      <c r="R1826" s="121"/>
      <c r="S1826" s="121"/>
      <c r="T1826" s="121"/>
      <c r="U1826" s="121"/>
      <c r="V1826" s="121"/>
      <c r="W1826" s="121"/>
      <c r="X1826" s="121"/>
      <c r="Y1826" s="121"/>
      <c r="Z1826" s="121"/>
      <c r="AA1826" s="121"/>
      <c r="AB1826" s="121"/>
    </row>
    <row r="1827" spans="2:28" ht="13.5" customHeight="1">
      <c r="B1827" s="99" t="e">
        <f>INDEX(QSGR!$B$16:$B$1570,AC1826)</f>
        <v>#VALUE!</v>
      </c>
      <c r="C1827" s="121"/>
      <c r="D1827" s="121"/>
      <c r="E1827" s="97">
        <f>INDEX(QSGR!$D$16:$D$11170,AC1826)</f>
        <v>0</v>
      </c>
      <c r="F1827" s="121"/>
      <c r="G1827" s="121"/>
      <c r="H1827" s="121"/>
      <c r="I1827" s="121"/>
      <c r="J1827" s="121"/>
      <c r="K1827" s="121"/>
      <c r="L1827" s="121"/>
      <c r="M1827" s="121"/>
      <c r="N1827" s="121"/>
      <c r="O1827" s="121"/>
      <c r="P1827" s="121"/>
      <c r="Q1827" s="121"/>
      <c r="R1827" s="121"/>
      <c r="S1827" s="121"/>
      <c r="T1827" s="121"/>
      <c r="U1827" s="121"/>
      <c r="V1827" s="121"/>
      <c r="W1827" s="121"/>
      <c r="X1827" s="121"/>
      <c r="Y1827" s="121"/>
      <c r="Z1827" s="121"/>
      <c r="AA1827" s="121"/>
      <c r="AB1827" s="121"/>
    </row>
    <row r="1828" spans="2:28" ht="13.5" customHeight="1">
      <c r="B1828" s="96" t="str">
        <f>CONCATENATE("- Evento: ",INFO!$B$22)</f>
        <v>- Evento: PARTICIPAR DA OPERAÇÃO HORUS.</v>
      </c>
      <c r="C1828" s="121"/>
      <c r="D1828" s="121"/>
      <c r="E1828" s="121"/>
      <c r="F1828" s="121"/>
      <c r="G1828" s="121"/>
      <c r="H1828" s="121"/>
      <c r="I1828" s="121"/>
      <c r="J1828" s="121"/>
      <c r="K1828" s="121"/>
      <c r="L1828" s="121"/>
      <c r="M1828" s="121"/>
      <c r="N1828" s="121"/>
      <c r="O1828" s="121"/>
      <c r="P1828" s="121"/>
      <c r="Q1828" s="121"/>
      <c r="R1828" s="121"/>
      <c r="S1828" s="121"/>
      <c r="T1828" s="121"/>
      <c r="U1828" s="121"/>
      <c r="V1828" s="121"/>
      <c r="W1828" s="121"/>
      <c r="X1828" s="121"/>
      <c r="Y1828" s="121"/>
      <c r="Z1828" s="121"/>
      <c r="AA1828" s="121"/>
      <c r="AB1828" s="121"/>
    </row>
    <row r="1829" spans="2:28" ht="13.5" customHeight="1">
      <c r="B1829" s="98" t="str">
        <f>CONCATENATE("- Documento de Solicitação: ",INFO!$B$24)</f>
        <v>- Documento de Solicitação: TESTE AZUL</v>
      </c>
      <c r="C1829" s="121"/>
      <c r="D1829" s="121"/>
      <c r="E1829" s="121"/>
      <c r="F1829" s="121"/>
      <c r="G1829" s="121"/>
      <c r="H1829" s="121"/>
      <c r="I1829" s="121"/>
      <c r="J1829" s="121"/>
      <c r="K1829" s="121"/>
      <c r="L1829" s="121"/>
      <c r="M1829" s="121"/>
      <c r="N1829" s="121"/>
      <c r="O1829" s="121"/>
      <c r="P1829" s="121"/>
      <c r="Q1829" s="121"/>
      <c r="R1829" s="121"/>
      <c r="S1829" s="121"/>
      <c r="T1829" s="121"/>
      <c r="U1829" s="121"/>
      <c r="V1829" s="121"/>
      <c r="W1829" s="121"/>
      <c r="X1829" s="121"/>
      <c r="Y1829" s="121"/>
      <c r="Z1829" s="121"/>
      <c r="AA1829" s="121"/>
      <c r="AB1829" s="121"/>
    </row>
    <row r="1830" spans="2:28" ht="13.5" customHeight="1">
      <c r="B1830" s="98" t="str">
        <f>CONCATENATE("- Local: ",INFO!$C$18)</f>
        <v>- Local: GUAIRA - PR</v>
      </c>
      <c r="C1830" s="121"/>
      <c r="D1830" s="121"/>
      <c r="E1830" s="121"/>
      <c r="F1830" s="121"/>
      <c r="G1830" s="121"/>
      <c r="H1830" s="121"/>
      <c r="I1830" s="121"/>
      <c r="J1830" s="121"/>
      <c r="K1830" s="121"/>
      <c r="L1830" s="121"/>
      <c r="M1830" s="121"/>
      <c r="N1830" s="121"/>
      <c r="O1830" s="121"/>
      <c r="P1830" s="121"/>
      <c r="Q1830" s="121"/>
      <c r="R1830" s="121"/>
      <c r="S1830" s="121"/>
      <c r="T1830" s="121"/>
      <c r="U1830" s="121"/>
      <c r="V1830" s="121"/>
      <c r="W1830" s="121"/>
      <c r="X1830" s="121"/>
      <c r="Y1830" s="121"/>
      <c r="Z1830" s="121"/>
      <c r="AA1830" s="121"/>
      <c r="AB1830" s="121"/>
    </row>
    <row r="1831" spans="2:28" ht="13.5" customHeight="1">
      <c r="B1831" s="98" t="str">
        <f>CONCATENATE("- Periodo: ",INFO!$C$10," a ",INFO!$C$19)</f>
        <v xml:space="preserve">- Periodo: 22/7/2025  a 23/8/2025 </v>
      </c>
      <c r="C1831" s="121"/>
      <c r="D1831" s="121"/>
      <c r="E1831" s="121"/>
      <c r="F1831" s="121"/>
      <c r="G1831" s="121"/>
      <c r="H1831" s="121"/>
      <c r="I1831" s="121"/>
      <c r="J1831" s="121"/>
      <c r="K1831" s="121"/>
      <c r="L1831" s="121"/>
      <c r="M1831" s="121"/>
      <c r="N1831" s="121"/>
      <c r="O1831" s="121"/>
      <c r="P1831" s="121"/>
      <c r="Q1831" s="121"/>
      <c r="R1831" s="121"/>
      <c r="S1831" s="121"/>
      <c r="T1831" s="121"/>
      <c r="U1831" s="121"/>
      <c r="V1831" s="121"/>
      <c r="W1831" s="121"/>
      <c r="X1831" s="121"/>
      <c r="Y1831" s="121"/>
      <c r="Z1831" s="121"/>
      <c r="AA1831" s="121"/>
      <c r="AB1831" s="121"/>
    </row>
    <row r="1832" spans="2:28" ht="13.5" customHeight="1">
      <c r="B1832" s="98" t="str">
        <f>CONCATENATE("- Nr Dias: ",INFO!$C$20)</f>
        <v>- Nr Dias: 33</v>
      </c>
      <c r="C1832" s="121"/>
      <c r="D1832" s="121"/>
      <c r="E1832" s="121"/>
      <c r="F1832" s="121"/>
      <c r="G1832" s="121"/>
      <c r="H1832" s="121"/>
      <c r="I1832" s="121"/>
      <c r="J1832" s="121"/>
      <c r="K1832" s="121"/>
      <c r="L1832" s="121"/>
      <c r="M1832" s="121"/>
      <c r="N1832" s="121"/>
      <c r="O1832" s="121"/>
      <c r="P1832" s="121"/>
      <c r="Q1832" s="121"/>
      <c r="R1832" s="121"/>
      <c r="S1832" s="121"/>
      <c r="T1832" s="121"/>
      <c r="U1832" s="121"/>
      <c r="V1832" s="121"/>
      <c r="W1832" s="121"/>
      <c r="X1832" s="121"/>
      <c r="Y1832" s="121"/>
      <c r="Z1832" s="121"/>
      <c r="AA1832" s="121"/>
      <c r="AB1832" s="121"/>
    </row>
    <row r="1833" spans="2:28" ht="13.5" customHeight="1">
      <c r="B1833" s="98" t="str">
        <f>CONCATENATE("- Valor Estimado: R$ ",INDEX(QSGR!$J$16:$J$11170,AC1826))</f>
        <v xml:space="preserve">- Valor Estimado: R$ </v>
      </c>
      <c r="C1833" s="121"/>
      <c r="D1833" s="121"/>
      <c r="E1833" s="121"/>
      <c r="F1833" s="121"/>
      <c r="G1833" s="121"/>
      <c r="H1833" s="121"/>
      <c r="I1833" s="121"/>
      <c r="J1833" s="121"/>
      <c r="K1833" s="121"/>
      <c r="L1833" s="121"/>
      <c r="M1833" s="121"/>
      <c r="N1833" s="121"/>
      <c r="O1833" s="121"/>
      <c r="P1833" s="121"/>
      <c r="Q1833" s="121"/>
      <c r="R1833" s="121"/>
      <c r="S1833" s="121"/>
      <c r="T1833" s="121"/>
      <c r="U1833" s="121"/>
      <c r="V1833" s="121"/>
      <c r="W1833" s="121"/>
      <c r="X1833" s="121"/>
      <c r="Y1833" s="121"/>
      <c r="Z1833" s="121"/>
      <c r="AA1833" s="121"/>
      <c r="AB1833" s="121"/>
    </row>
    <row r="1834" spans="2:28" ht="13.5" customHeight="1">
      <c r="B1834" s="100"/>
      <c r="C1834" s="121"/>
      <c r="D1834" s="121"/>
      <c r="E1834" s="121"/>
      <c r="F1834" s="121"/>
      <c r="G1834" s="121"/>
      <c r="H1834" s="121"/>
      <c r="I1834" s="121"/>
      <c r="J1834" s="121"/>
      <c r="K1834" s="121"/>
      <c r="L1834" s="121"/>
      <c r="M1834" s="121"/>
      <c r="N1834" s="121"/>
      <c r="O1834" s="121"/>
      <c r="P1834" s="121"/>
      <c r="Q1834" s="121"/>
      <c r="R1834" s="121"/>
      <c r="S1834" s="121"/>
      <c r="T1834" s="121"/>
      <c r="U1834" s="121"/>
      <c r="V1834" s="121"/>
      <c r="W1834" s="121"/>
      <c r="X1834" s="121"/>
      <c r="Y1834" s="121"/>
      <c r="Z1834" s="121"/>
      <c r="AA1834" s="121"/>
      <c r="AB1834" s="121"/>
    </row>
    <row r="1835" spans="2:28" ht="13.5" customHeight="1">
      <c r="B1835" s="98" t="s">
        <v>55</v>
      </c>
      <c r="C1835" s="121"/>
      <c r="D1835" s="121"/>
      <c r="E1835" s="121"/>
      <c r="F1835" s="121"/>
      <c r="G1835" s="121"/>
      <c r="H1835" s="121"/>
      <c r="I1835" s="121"/>
      <c r="J1835" s="121"/>
      <c r="K1835" s="121"/>
      <c r="L1835" s="121"/>
      <c r="M1835" s="121"/>
      <c r="N1835" s="121"/>
      <c r="O1835" s="121"/>
      <c r="P1835" s="121"/>
      <c r="Q1835" s="121"/>
      <c r="R1835" s="121"/>
      <c r="S1835" s="121"/>
      <c r="T1835" s="121"/>
      <c r="U1835" s="121"/>
      <c r="V1835" s="121"/>
      <c r="W1835" s="121"/>
      <c r="X1835" s="121"/>
      <c r="Y1835" s="121"/>
      <c r="Z1835" s="121"/>
      <c r="AA1835" s="121"/>
      <c r="AB1835" s="121"/>
    </row>
    <row r="1836" spans="2:28" ht="13.5" customHeight="1">
      <c r="B1836" s="99" t="e">
        <f>INDEX(QSGR!$B$16:$B$1570,AC1835)</f>
        <v>#VALUE!</v>
      </c>
      <c r="C1836" s="121"/>
      <c r="D1836" s="121"/>
      <c r="E1836" s="97">
        <f>INDEX(QSGR!$D$16:$D$11170,AC1835)</f>
        <v>0</v>
      </c>
      <c r="F1836" s="121"/>
      <c r="G1836" s="121"/>
      <c r="H1836" s="121"/>
      <c r="I1836" s="121"/>
      <c r="J1836" s="121"/>
      <c r="K1836" s="121"/>
      <c r="L1836" s="121"/>
      <c r="M1836" s="121"/>
      <c r="N1836" s="121"/>
      <c r="O1836" s="121"/>
      <c r="P1836" s="121"/>
      <c r="Q1836" s="121"/>
      <c r="R1836" s="121"/>
      <c r="S1836" s="121"/>
      <c r="T1836" s="121"/>
      <c r="U1836" s="121"/>
      <c r="V1836" s="121"/>
      <c r="W1836" s="121"/>
      <c r="X1836" s="121"/>
      <c r="Y1836" s="121"/>
      <c r="Z1836" s="121"/>
      <c r="AA1836" s="121"/>
      <c r="AB1836" s="121"/>
    </row>
    <row r="1837" spans="2:28" ht="13.5" customHeight="1">
      <c r="B1837" s="96" t="str">
        <f>CONCATENATE("- Evento: ",INFO!$B$22)</f>
        <v>- Evento: PARTICIPAR DA OPERAÇÃO HORUS.</v>
      </c>
      <c r="C1837" s="121"/>
      <c r="D1837" s="121"/>
      <c r="E1837" s="121"/>
      <c r="F1837" s="121"/>
      <c r="G1837" s="121"/>
      <c r="H1837" s="121"/>
      <c r="I1837" s="121"/>
      <c r="J1837" s="121"/>
      <c r="K1837" s="121"/>
      <c r="L1837" s="121"/>
      <c r="M1837" s="121"/>
      <c r="N1837" s="121"/>
      <c r="O1837" s="121"/>
      <c r="P1837" s="121"/>
      <c r="Q1837" s="121"/>
      <c r="R1837" s="121"/>
      <c r="S1837" s="121"/>
      <c r="T1837" s="121"/>
      <c r="U1837" s="121"/>
      <c r="V1837" s="121"/>
      <c r="W1837" s="121"/>
      <c r="X1837" s="121"/>
      <c r="Y1837" s="121"/>
      <c r="Z1837" s="121"/>
      <c r="AA1837" s="121"/>
      <c r="AB1837" s="121"/>
    </row>
    <row r="1838" spans="2:28" ht="13.5" customHeight="1">
      <c r="B1838" s="98" t="str">
        <f>CONCATENATE("- Documento de Solicitação: ",INFO!$B$24)</f>
        <v>- Documento de Solicitação: TESTE AZUL</v>
      </c>
      <c r="C1838" s="121"/>
      <c r="D1838" s="121"/>
      <c r="E1838" s="121"/>
      <c r="F1838" s="121"/>
      <c r="G1838" s="121"/>
      <c r="H1838" s="121"/>
      <c r="I1838" s="121"/>
      <c r="J1838" s="121"/>
      <c r="K1838" s="121"/>
      <c r="L1838" s="121"/>
      <c r="M1838" s="121"/>
      <c r="N1838" s="121"/>
      <c r="O1838" s="121"/>
      <c r="P1838" s="121"/>
      <c r="Q1838" s="121"/>
      <c r="R1838" s="121"/>
      <c r="S1838" s="121"/>
      <c r="T1838" s="121"/>
      <c r="U1838" s="121"/>
      <c r="V1838" s="121"/>
      <c r="W1838" s="121"/>
      <c r="X1838" s="121"/>
      <c r="Y1838" s="121"/>
      <c r="Z1838" s="121"/>
      <c r="AA1838" s="121"/>
      <c r="AB1838" s="121"/>
    </row>
    <row r="1839" spans="2:28" ht="13.5" customHeight="1">
      <c r="B1839" s="98" t="str">
        <f>CONCATENATE("- Local: ",INFO!$C$18)</f>
        <v>- Local: GUAIRA - PR</v>
      </c>
      <c r="C1839" s="121"/>
      <c r="D1839" s="121"/>
      <c r="E1839" s="121"/>
      <c r="F1839" s="121"/>
      <c r="G1839" s="121"/>
      <c r="H1839" s="121"/>
      <c r="I1839" s="121"/>
      <c r="J1839" s="121"/>
      <c r="K1839" s="121"/>
      <c r="L1839" s="121"/>
      <c r="M1839" s="121"/>
      <c r="N1839" s="121"/>
      <c r="O1839" s="121"/>
      <c r="P1839" s="121"/>
      <c r="Q1839" s="121"/>
      <c r="R1839" s="121"/>
      <c r="S1839" s="121"/>
      <c r="T1839" s="121"/>
      <c r="U1839" s="121"/>
      <c r="V1839" s="121"/>
      <c r="W1839" s="121"/>
      <c r="X1839" s="121"/>
      <c r="Y1839" s="121"/>
      <c r="Z1839" s="121"/>
      <c r="AA1839" s="121"/>
      <c r="AB1839" s="121"/>
    </row>
    <row r="1840" spans="2:28" ht="13.5" customHeight="1">
      <c r="B1840" s="98" t="str">
        <f>CONCATENATE("- Periodo: ",INFO!$C$10," a ",INFO!$C$19)</f>
        <v xml:space="preserve">- Periodo: 22/7/2025  a 23/8/2025 </v>
      </c>
      <c r="C1840" s="121"/>
      <c r="D1840" s="121"/>
      <c r="E1840" s="121"/>
      <c r="F1840" s="121"/>
      <c r="G1840" s="121"/>
      <c r="H1840" s="121"/>
      <c r="I1840" s="121"/>
      <c r="J1840" s="121"/>
      <c r="K1840" s="121"/>
      <c r="L1840" s="121"/>
      <c r="M1840" s="121"/>
      <c r="N1840" s="121"/>
      <c r="O1840" s="121"/>
      <c r="P1840" s="121"/>
      <c r="Q1840" s="121"/>
      <c r="R1840" s="121"/>
      <c r="S1840" s="121"/>
      <c r="T1840" s="121"/>
      <c r="U1840" s="121"/>
      <c r="V1840" s="121"/>
      <c r="W1840" s="121"/>
      <c r="X1840" s="121"/>
      <c r="Y1840" s="121"/>
      <c r="Z1840" s="121"/>
      <c r="AA1840" s="121"/>
      <c r="AB1840" s="121"/>
    </row>
    <row r="1841" spans="2:28" ht="13.5" customHeight="1">
      <c r="B1841" s="98" t="str">
        <f>CONCATENATE("- Nr Dias: ",INFO!$C$20)</f>
        <v>- Nr Dias: 33</v>
      </c>
      <c r="C1841" s="121"/>
      <c r="D1841" s="121"/>
      <c r="E1841" s="121"/>
      <c r="F1841" s="121"/>
      <c r="G1841" s="121"/>
      <c r="H1841" s="121"/>
      <c r="I1841" s="121"/>
      <c r="J1841" s="121"/>
      <c r="K1841" s="121"/>
      <c r="L1841" s="121"/>
      <c r="M1841" s="121"/>
      <c r="N1841" s="121"/>
      <c r="O1841" s="121"/>
      <c r="P1841" s="121"/>
      <c r="Q1841" s="121"/>
      <c r="R1841" s="121"/>
      <c r="S1841" s="121"/>
      <c r="T1841" s="121"/>
      <c r="U1841" s="121"/>
      <c r="V1841" s="121"/>
      <c r="W1841" s="121"/>
      <c r="X1841" s="121"/>
      <c r="Y1841" s="121"/>
      <c r="Z1841" s="121"/>
      <c r="AA1841" s="121"/>
      <c r="AB1841" s="121"/>
    </row>
    <row r="1842" spans="2:28" ht="13.5" customHeight="1">
      <c r="B1842" s="98" t="str">
        <f>CONCATENATE("- Valor Estimado: R$ ",INDEX(QSGR!$J$16:$J$11170,AC1835))</f>
        <v xml:space="preserve">- Valor Estimado: R$ </v>
      </c>
      <c r="C1842" s="121"/>
      <c r="D1842" s="121"/>
      <c r="E1842" s="121"/>
      <c r="F1842" s="121"/>
      <c r="G1842" s="121"/>
      <c r="H1842" s="121"/>
      <c r="I1842" s="121"/>
      <c r="J1842" s="121"/>
      <c r="K1842" s="121"/>
      <c r="L1842" s="121"/>
      <c r="M1842" s="121"/>
      <c r="N1842" s="121"/>
      <c r="O1842" s="121"/>
      <c r="P1842" s="121"/>
      <c r="Q1842" s="121"/>
      <c r="R1842" s="121"/>
      <c r="S1842" s="121"/>
      <c r="T1842" s="121"/>
      <c r="U1842" s="121"/>
      <c r="V1842" s="121"/>
      <c r="W1842" s="121"/>
      <c r="X1842" s="121"/>
      <c r="Y1842" s="121"/>
      <c r="Z1842" s="121"/>
      <c r="AA1842" s="121"/>
      <c r="AB1842" s="121"/>
    </row>
    <row r="1843" spans="2:28" ht="13.5" customHeight="1">
      <c r="B1843" s="100"/>
      <c r="C1843" s="121"/>
      <c r="D1843" s="121"/>
      <c r="E1843" s="121"/>
      <c r="F1843" s="121"/>
      <c r="G1843" s="121"/>
      <c r="H1843" s="121"/>
      <c r="I1843" s="121"/>
      <c r="J1843" s="121"/>
      <c r="K1843" s="121"/>
      <c r="L1843" s="121"/>
      <c r="M1843" s="121"/>
      <c r="N1843" s="121"/>
      <c r="O1843" s="121"/>
      <c r="P1843" s="121"/>
      <c r="Q1843" s="121"/>
      <c r="R1843" s="121"/>
      <c r="S1843" s="121"/>
      <c r="T1843" s="121"/>
      <c r="U1843" s="121"/>
      <c r="V1843" s="121"/>
      <c r="W1843" s="121"/>
      <c r="X1843" s="121"/>
      <c r="Y1843" s="121"/>
      <c r="Z1843" s="121"/>
      <c r="AA1843" s="121"/>
      <c r="AB1843" s="121"/>
    </row>
    <row r="1844" spans="2:28" ht="13.5" customHeight="1">
      <c r="B1844" s="98" t="s">
        <v>55</v>
      </c>
      <c r="C1844" s="121"/>
      <c r="D1844" s="121"/>
      <c r="E1844" s="121"/>
      <c r="F1844" s="121"/>
      <c r="G1844" s="121"/>
      <c r="H1844" s="121"/>
      <c r="I1844" s="121"/>
      <c r="J1844" s="121"/>
      <c r="K1844" s="121"/>
      <c r="L1844" s="121"/>
      <c r="M1844" s="121"/>
      <c r="N1844" s="121"/>
      <c r="O1844" s="121"/>
      <c r="P1844" s="121"/>
      <c r="Q1844" s="121"/>
      <c r="R1844" s="121"/>
      <c r="S1844" s="121"/>
      <c r="T1844" s="121"/>
      <c r="U1844" s="121"/>
      <c r="V1844" s="121"/>
      <c r="W1844" s="121"/>
      <c r="X1844" s="121"/>
      <c r="Y1844" s="121"/>
      <c r="Z1844" s="121"/>
      <c r="AA1844" s="121"/>
      <c r="AB1844" s="121"/>
    </row>
    <row r="1845" spans="2:28" ht="13.5" customHeight="1">
      <c r="B1845" s="99" t="e">
        <f>INDEX(QSGR!$B$16:$B$1570,AC1844)</f>
        <v>#VALUE!</v>
      </c>
      <c r="C1845" s="121"/>
      <c r="D1845" s="121"/>
      <c r="E1845" s="97">
        <f>INDEX(QSGR!$D$16:$D$11170,AC1844)</f>
        <v>0</v>
      </c>
      <c r="F1845" s="121"/>
      <c r="G1845" s="121"/>
      <c r="H1845" s="121"/>
      <c r="I1845" s="121"/>
      <c r="J1845" s="121"/>
      <c r="K1845" s="121"/>
      <c r="L1845" s="121"/>
      <c r="M1845" s="121"/>
      <c r="N1845" s="121"/>
      <c r="O1845" s="121"/>
      <c r="P1845" s="121"/>
      <c r="Q1845" s="121"/>
      <c r="R1845" s="121"/>
      <c r="S1845" s="121"/>
      <c r="T1845" s="121"/>
      <c r="U1845" s="121"/>
      <c r="V1845" s="121"/>
      <c r="W1845" s="121"/>
      <c r="X1845" s="121"/>
      <c r="Y1845" s="121"/>
      <c r="Z1845" s="121"/>
      <c r="AA1845" s="121"/>
      <c r="AB1845" s="121"/>
    </row>
    <row r="1846" spans="2:28" ht="13.5" customHeight="1">
      <c r="B1846" s="96" t="str">
        <f>CONCATENATE("- Evento: ",INFO!$B$22)</f>
        <v>- Evento: PARTICIPAR DA OPERAÇÃO HORUS.</v>
      </c>
      <c r="C1846" s="121"/>
      <c r="D1846" s="121"/>
      <c r="E1846" s="121"/>
      <c r="F1846" s="121"/>
      <c r="G1846" s="121"/>
      <c r="H1846" s="121"/>
      <c r="I1846" s="121"/>
      <c r="J1846" s="121"/>
      <c r="K1846" s="121"/>
      <c r="L1846" s="121"/>
      <c r="M1846" s="121"/>
      <c r="N1846" s="121"/>
      <c r="O1846" s="121"/>
      <c r="P1846" s="121"/>
      <c r="Q1846" s="121"/>
      <c r="R1846" s="121"/>
      <c r="S1846" s="121"/>
      <c r="T1846" s="121"/>
      <c r="U1846" s="121"/>
      <c r="V1846" s="121"/>
      <c r="W1846" s="121"/>
      <c r="X1846" s="121"/>
      <c r="Y1846" s="121"/>
      <c r="Z1846" s="121"/>
      <c r="AA1846" s="121"/>
      <c r="AB1846" s="121"/>
    </row>
    <row r="1847" spans="2:28" ht="13.5" customHeight="1">
      <c r="B1847" s="98" t="str">
        <f>CONCATENATE("- Documento de Solicitação: ",INFO!$B$24)</f>
        <v>- Documento de Solicitação: TESTE AZUL</v>
      </c>
      <c r="C1847" s="121"/>
      <c r="D1847" s="121"/>
      <c r="E1847" s="121"/>
      <c r="F1847" s="121"/>
      <c r="G1847" s="121"/>
      <c r="H1847" s="121"/>
      <c r="I1847" s="121"/>
      <c r="J1847" s="121"/>
      <c r="K1847" s="121"/>
      <c r="L1847" s="121"/>
      <c r="M1847" s="121"/>
      <c r="N1847" s="121"/>
      <c r="O1847" s="121"/>
      <c r="P1847" s="121"/>
      <c r="Q1847" s="121"/>
      <c r="R1847" s="121"/>
      <c r="S1847" s="121"/>
      <c r="T1847" s="121"/>
      <c r="U1847" s="121"/>
      <c r="V1847" s="121"/>
      <c r="W1847" s="121"/>
      <c r="X1847" s="121"/>
      <c r="Y1847" s="121"/>
      <c r="Z1847" s="121"/>
      <c r="AA1847" s="121"/>
      <c r="AB1847" s="121"/>
    </row>
    <row r="1848" spans="2:28" ht="13.5" customHeight="1">
      <c r="B1848" s="98" t="str">
        <f>CONCATENATE("- Local: ",INFO!$C$18)</f>
        <v>- Local: GUAIRA - PR</v>
      </c>
      <c r="C1848" s="121"/>
      <c r="D1848" s="121"/>
      <c r="E1848" s="121"/>
      <c r="F1848" s="121"/>
      <c r="G1848" s="121"/>
      <c r="H1848" s="121"/>
      <c r="I1848" s="121"/>
      <c r="J1848" s="121"/>
      <c r="K1848" s="121"/>
      <c r="L1848" s="121"/>
      <c r="M1848" s="121"/>
      <c r="N1848" s="121"/>
      <c r="O1848" s="121"/>
      <c r="P1848" s="121"/>
      <c r="Q1848" s="121"/>
      <c r="R1848" s="121"/>
      <c r="S1848" s="121"/>
      <c r="T1848" s="121"/>
      <c r="U1848" s="121"/>
      <c r="V1848" s="121"/>
      <c r="W1848" s="121"/>
      <c r="X1848" s="121"/>
      <c r="Y1848" s="121"/>
      <c r="Z1848" s="121"/>
      <c r="AA1848" s="121"/>
      <c r="AB1848" s="121"/>
    </row>
    <row r="1849" spans="2:28" ht="13.5" customHeight="1">
      <c r="B1849" s="98" t="str">
        <f>CONCATENATE("- Periodo: ",INFO!$C$10," a ",INFO!$C$19)</f>
        <v xml:space="preserve">- Periodo: 22/7/2025  a 23/8/2025 </v>
      </c>
      <c r="C1849" s="121"/>
      <c r="D1849" s="121"/>
      <c r="E1849" s="121"/>
      <c r="F1849" s="121"/>
      <c r="G1849" s="121"/>
      <c r="H1849" s="121"/>
      <c r="I1849" s="121"/>
      <c r="J1849" s="121"/>
      <c r="K1849" s="121"/>
      <c r="L1849" s="121"/>
      <c r="M1849" s="121"/>
      <c r="N1849" s="121"/>
      <c r="O1849" s="121"/>
      <c r="P1849" s="121"/>
      <c r="Q1849" s="121"/>
      <c r="R1849" s="121"/>
      <c r="S1849" s="121"/>
      <c r="T1849" s="121"/>
      <c r="U1849" s="121"/>
      <c r="V1849" s="121"/>
      <c r="W1849" s="121"/>
      <c r="X1849" s="121"/>
      <c r="Y1849" s="121"/>
      <c r="Z1849" s="121"/>
      <c r="AA1849" s="121"/>
      <c r="AB1849" s="121"/>
    </row>
    <row r="1850" spans="2:28" ht="13.5" customHeight="1">
      <c r="B1850" s="98" t="str">
        <f>CONCATENATE("- Nr Dias: ",INFO!$C$20)</f>
        <v>- Nr Dias: 33</v>
      </c>
      <c r="C1850" s="121"/>
      <c r="D1850" s="121"/>
      <c r="E1850" s="121"/>
      <c r="F1850" s="121"/>
      <c r="G1850" s="121"/>
      <c r="H1850" s="121"/>
      <c r="I1850" s="121"/>
      <c r="J1850" s="121"/>
      <c r="K1850" s="121"/>
      <c r="L1850" s="121"/>
      <c r="M1850" s="121"/>
      <c r="N1850" s="121"/>
      <c r="O1850" s="121"/>
      <c r="P1850" s="121"/>
      <c r="Q1850" s="121"/>
      <c r="R1850" s="121"/>
      <c r="S1850" s="121"/>
      <c r="T1850" s="121"/>
      <c r="U1850" s="121"/>
      <c r="V1850" s="121"/>
      <c r="W1850" s="121"/>
      <c r="X1850" s="121"/>
      <c r="Y1850" s="121"/>
      <c r="Z1850" s="121"/>
      <c r="AA1850" s="121"/>
      <c r="AB1850" s="121"/>
    </row>
    <row r="1851" spans="2:28" ht="13.5" customHeight="1">
      <c r="B1851" s="98" t="str">
        <f>CONCATENATE("- Valor Estimado: R$ ",INDEX(QSGR!$J$16:$J$11170,AC1844))</f>
        <v xml:space="preserve">- Valor Estimado: R$ </v>
      </c>
      <c r="C1851" s="121"/>
      <c r="D1851" s="121"/>
      <c r="E1851" s="121"/>
      <c r="F1851" s="121"/>
      <c r="G1851" s="121"/>
      <c r="H1851" s="121"/>
      <c r="I1851" s="121"/>
      <c r="J1851" s="121"/>
      <c r="K1851" s="121"/>
      <c r="L1851" s="121"/>
      <c r="M1851" s="121"/>
      <c r="N1851" s="121"/>
      <c r="O1851" s="121"/>
      <c r="P1851" s="121"/>
      <c r="Q1851" s="121"/>
      <c r="R1851" s="121"/>
      <c r="S1851" s="121"/>
      <c r="T1851" s="121"/>
      <c r="U1851" s="121"/>
      <c r="V1851" s="121"/>
      <c r="W1851" s="121"/>
      <c r="X1851" s="121"/>
      <c r="Y1851" s="121"/>
      <c r="Z1851" s="121"/>
      <c r="AA1851" s="121"/>
      <c r="AB1851" s="121"/>
    </row>
    <row r="1852" spans="2:28" ht="13.5" customHeight="1">
      <c r="B1852" s="100"/>
      <c r="C1852" s="121"/>
      <c r="D1852" s="121"/>
      <c r="E1852" s="121"/>
      <c r="F1852" s="121"/>
      <c r="G1852" s="121"/>
      <c r="H1852" s="121"/>
      <c r="I1852" s="121"/>
      <c r="J1852" s="121"/>
      <c r="K1852" s="121"/>
      <c r="L1852" s="121"/>
      <c r="M1852" s="121"/>
      <c r="N1852" s="121"/>
      <c r="O1852" s="121"/>
      <c r="P1852" s="121"/>
      <c r="Q1852" s="121"/>
      <c r="R1852" s="121"/>
      <c r="S1852" s="121"/>
      <c r="T1852" s="121"/>
      <c r="U1852" s="121"/>
      <c r="V1852" s="121"/>
      <c r="W1852" s="121"/>
      <c r="X1852" s="121"/>
      <c r="Y1852" s="121"/>
      <c r="Z1852" s="121"/>
      <c r="AA1852" s="121"/>
      <c r="AB1852" s="121"/>
    </row>
    <row r="1853" spans="2:28" ht="13.5" customHeight="1">
      <c r="B1853" s="98" t="s">
        <v>55</v>
      </c>
      <c r="C1853" s="121"/>
      <c r="D1853" s="121"/>
      <c r="E1853" s="121"/>
      <c r="F1853" s="121"/>
      <c r="G1853" s="121"/>
      <c r="H1853" s="121"/>
      <c r="I1853" s="121"/>
      <c r="J1853" s="121"/>
      <c r="K1853" s="121"/>
      <c r="L1853" s="121"/>
      <c r="M1853" s="121"/>
      <c r="N1853" s="121"/>
      <c r="O1853" s="121"/>
      <c r="P1853" s="121"/>
      <c r="Q1853" s="121"/>
      <c r="R1853" s="121"/>
      <c r="S1853" s="121"/>
      <c r="T1853" s="121"/>
      <c r="U1853" s="121"/>
      <c r="V1853" s="121"/>
      <c r="W1853" s="121"/>
      <c r="X1853" s="121"/>
      <c r="Y1853" s="121"/>
      <c r="Z1853" s="121"/>
      <c r="AA1853" s="121"/>
      <c r="AB1853" s="121"/>
    </row>
    <row r="1854" spans="2:28" ht="13.5" customHeight="1">
      <c r="B1854" s="99" t="e">
        <f>INDEX(QSGR!$B$16:$B$1570,AC1853)</f>
        <v>#VALUE!</v>
      </c>
      <c r="C1854" s="121"/>
      <c r="D1854" s="121"/>
      <c r="E1854" s="97">
        <f>INDEX(QSGR!$D$16:$D$11170,AC1853)</f>
        <v>0</v>
      </c>
      <c r="F1854" s="121"/>
      <c r="G1854" s="121"/>
      <c r="H1854" s="121"/>
      <c r="I1854" s="121"/>
      <c r="J1854" s="121"/>
      <c r="K1854" s="121"/>
      <c r="L1854" s="121"/>
      <c r="M1854" s="121"/>
      <c r="N1854" s="121"/>
      <c r="O1854" s="121"/>
      <c r="P1854" s="121"/>
      <c r="Q1854" s="121"/>
      <c r="R1854" s="121"/>
      <c r="S1854" s="121"/>
      <c r="T1854" s="121"/>
      <c r="U1854" s="121"/>
      <c r="V1854" s="121"/>
      <c r="W1854" s="121"/>
      <c r="X1854" s="121"/>
      <c r="Y1854" s="121"/>
      <c r="Z1854" s="121"/>
      <c r="AA1854" s="121"/>
      <c r="AB1854" s="121"/>
    </row>
    <row r="1855" spans="2:28" ht="13.5" customHeight="1">
      <c r="B1855" s="96" t="str">
        <f>CONCATENATE("- Evento: ",INFO!$B$22)</f>
        <v>- Evento: PARTICIPAR DA OPERAÇÃO HORUS.</v>
      </c>
      <c r="C1855" s="121"/>
      <c r="D1855" s="121"/>
      <c r="E1855" s="121"/>
      <c r="F1855" s="121"/>
      <c r="G1855" s="121"/>
      <c r="H1855" s="121"/>
      <c r="I1855" s="121"/>
      <c r="J1855" s="121"/>
      <c r="K1855" s="121"/>
      <c r="L1855" s="121"/>
      <c r="M1855" s="121"/>
      <c r="N1855" s="121"/>
      <c r="O1855" s="121"/>
      <c r="P1855" s="121"/>
      <c r="Q1855" s="121"/>
      <c r="R1855" s="121"/>
      <c r="S1855" s="121"/>
      <c r="T1855" s="121"/>
      <c r="U1855" s="121"/>
      <c r="V1855" s="121"/>
      <c r="W1855" s="121"/>
      <c r="X1855" s="121"/>
      <c r="Y1855" s="121"/>
      <c r="Z1855" s="121"/>
      <c r="AA1855" s="121"/>
      <c r="AB1855" s="121"/>
    </row>
    <row r="1856" spans="2:28" ht="13.5" customHeight="1">
      <c r="B1856" s="98" t="str">
        <f>CONCATENATE("- Documento de Solicitação: ",INFO!$B$24)</f>
        <v>- Documento de Solicitação: TESTE AZUL</v>
      </c>
      <c r="C1856" s="121"/>
      <c r="D1856" s="121"/>
      <c r="E1856" s="121"/>
      <c r="F1856" s="121"/>
      <c r="G1856" s="121"/>
      <c r="H1856" s="121"/>
      <c r="I1856" s="121"/>
      <c r="J1856" s="121"/>
      <c r="K1856" s="121"/>
      <c r="L1856" s="121"/>
      <c r="M1856" s="121"/>
      <c r="N1856" s="121"/>
      <c r="O1856" s="121"/>
      <c r="P1856" s="121"/>
      <c r="Q1856" s="121"/>
      <c r="R1856" s="121"/>
      <c r="S1856" s="121"/>
      <c r="T1856" s="121"/>
      <c r="U1856" s="121"/>
      <c r="V1856" s="121"/>
      <c r="W1856" s="121"/>
      <c r="X1856" s="121"/>
      <c r="Y1856" s="121"/>
      <c r="Z1856" s="121"/>
      <c r="AA1856" s="121"/>
      <c r="AB1856" s="121"/>
    </row>
    <row r="1857" spans="2:28" ht="13.5" customHeight="1">
      <c r="B1857" s="98" t="str">
        <f>CONCATENATE("- Local: ",INFO!$C$18)</f>
        <v>- Local: GUAIRA - PR</v>
      </c>
      <c r="C1857" s="121"/>
      <c r="D1857" s="121"/>
      <c r="E1857" s="121"/>
      <c r="F1857" s="121"/>
      <c r="G1857" s="121"/>
      <c r="H1857" s="121"/>
      <c r="I1857" s="121"/>
      <c r="J1857" s="121"/>
      <c r="K1857" s="121"/>
      <c r="L1857" s="121"/>
      <c r="M1857" s="121"/>
      <c r="N1857" s="121"/>
      <c r="O1857" s="121"/>
      <c r="P1857" s="121"/>
      <c r="Q1857" s="121"/>
      <c r="R1857" s="121"/>
      <c r="S1857" s="121"/>
      <c r="T1857" s="121"/>
      <c r="U1857" s="121"/>
      <c r="V1857" s="121"/>
      <c r="W1857" s="121"/>
      <c r="X1857" s="121"/>
      <c r="Y1857" s="121"/>
      <c r="Z1857" s="121"/>
      <c r="AA1857" s="121"/>
      <c r="AB1857" s="121"/>
    </row>
    <row r="1858" spans="2:28" ht="13.5" customHeight="1">
      <c r="B1858" s="98" t="str">
        <f>CONCATENATE("- Periodo: ",INFO!$C$10," a ",INFO!$C$19)</f>
        <v xml:space="preserve">- Periodo: 22/7/2025  a 23/8/2025 </v>
      </c>
      <c r="C1858" s="121"/>
      <c r="D1858" s="121"/>
      <c r="E1858" s="121"/>
      <c r="F1858" s="121"/>
      <c r="G1858" s="121"/>
      <c r="H1858" s="121"/>
      <c r="I1858" s="121"/>
      <c r="J1858" s="121"/>
      <c r="K1858" s="121"/>
      <c r="L1858" s="121"/>
      <c r="M1858" s="121"/>
      <c r="N1858" s="121"/>
      <c r="O1858" s="121"/>
      <c r="P1858" s="121"/>
      <c r="Q1858" s="121"/>
      <c r="R1858" s="121"/>
      <c r="S1858" s="121"/>
      <c r="T1858" s="121"/>
      <c r="U1858" s="121"/>
      <c r="V1858" s="121"/>
      <c r="W1858" s="121"/>
      <c r="X1858" s="121"/>
      <c r="Y1858" s="121"/>
      <c r="Z1858" s="121"/>
      <c r="AA1858" s="121"/>
      <c r="AB1858" s="121"/>
    </row>
    <row r="1859" spans="2:28" ht="13.5" customHeight="1">
      <c r="B1859" s="98" t="str">
        <f>CONCATENATE("- Nr Dias: ",INFO!$C$20)</f>
        <v>- Nr Dias: 33</v>
      </c>
      <c r="C1859" s="121"/>
      <c r="D1859" s="121"/>
      <c r="E1859" s="121"/>
      <c r="F1859" s="121"/>
      <c r="G1859" s="121"/>
      <c r="H1859" s="121"/>
      <c r="I1859" s="121"/>
      <c r="J1859" s="121"/>
      <c r="K1859" s="121"/>
      <c r="L1859" s="121"/>
      <c r="M1859" s="121"/>
      <c r="N1859" s="121"/>
      <c r="O1859" s="121"/>
      <c r="P1859" s="121"/>
      <c r="Q1859" s="121"/>
      <c r="R1859" s="121"/>
      <c r="S1859" s="121"/>
      <c r="T1859" s="121"/>
      <c r="U1859" s="121"/>
      <c r="V1859" s="121"/>
      <c r="W1859" s="121"/>
      <c r="X1859" s="121"/>
      <c r="Y1859" s="121"/>
      <c r="Z1859" s="121"/>
      <c r="AA1859" s="121"/>
      <c r="AB1859" s="121"/>
    </row>
    <row r="1860" spans="2:28" ht="13.5" customHeight="1">
      <c r="B1860" s="98" t="str">
        <f>CONCATENATE("- Valor Estimado: R$ ",INDEX(QSGR!$J$16:$J$11170,AC1853))</f>
        <v xml:space="preserve">- Valor Estimado: R$ </v>
      </c>
      <c r="C1860" s="121"/>
      <c r="D1860" s="121"/>
      <c r="E1860" s="121"/>
      <c r="F1860" s="121"/>
      <c r="G1860" s="121"/>
      <c r="H1860" s="121"/>
      <c r="I1860" s="121"/>
      <c r="J1860" s="121"/>
      <c r="K1860" s="121"/>
      <c r="L1860" s="121"/>
      <c r="M1860" s="121"/>
      <c r="N1860" s="121"/>
      <c r="O1860" s="121"/>
      <c r="P1860" s="121"/>
      <c r="Q1860" s="121"/>
      <c r="R1860" s="121"/>
      <c r="S1860" s="121"/>
      <c r="T1860" s="121"/>
      <c r="U1860" s="121"/>
      <c r="V1860" s="121"/>
      <c r="W1860" s="121"/>
      <c r="X1860" s="121"/>
      <c r="Y1860" s="121"/>
      <c r="Z1860" s="121"/>
      <c r="AA1860" s="121"/>
      <c r="AB1860" s="121"/>
    </row>
    <row r="1861" spans="2:28" ht="13.5" customHeight="1">
      <c r="B1861" s="100"/>
      <c r="C1861" s="121"/>
      <c r="D1861" s="121"/>
      <c r="E1861" s="121"/>
      <c r="F1861" s="121"/>
      <c r="G1861" s="121"/>
      <c r="H1861" s="121"/>
      <c r="I1861" s="121"/>
      <c r="J1861" s="121"/>
      <c r="K1861" s="121"/>
      <c r="L1861" s="121"/>
      <c r="M1861" s="121"/>
      <c r="N1861" s="121"/>
      <c r="O1861" s="121"/>
      <c r="P1861" s="121"/>
      <c r="Q1861" s="121"/>
      <c r="R1861" s="121"/>
      <c r="S1861" s="121"/>
      <c r="T1861" s="121"/>
      <c r="U1861" s="121"/>
      <c r="V1861" s="121"/>
      <c r="W1861" s="121"/>
      <c r="X1861" s="121"/>
      <c r="Y1861" s="121"/>
      <c r="Z1861" s="121"/>
      <c r="AA1861" s="121"/>
      <c r="AB1861" s="121"/>
    </row>
    <row r="1862" spans="2:28" ht="13.5" customHeight="1">
      <c r="B1862" s="98" t="s">
        <v>55</v>
      </c>
      <c r="C1862" s="121"/>
      <c r="D1862" s="121"/>
      <c r="E1862" s="121"/>
      <c r="F1862" s="121"/>
      <c r="G1862" s="121"/>
      <c r="H1862" s="121"/>
      <c r="I1862" s="121"/>
      <c r="J1862" s="121"/>
      <c r="K1862" s="121"/>
      <c r="L1862" s="121"/>
      <c r="M1862" s="121"/>
      <c r="N1862" s="121"/>
      <c r="O1862" s="121"/>
      <c r="P1862" s="121"/>
      <c r="Q1862" s="121"/>
      <c r="R1862" s="121"/>
      <c r="S1862" s="121"/>
      <c r="T1862" s="121"/>
      <c r="U1862" s="121"/>
      <c r="V1862" s="121"/>
      <c r="W1862" s="121"/>
      <c r="X1862" s="121"/>
      <c r="Y1862" s="121"/>
      <c r="Z1862" s="121"/>
      <c r="AA1862" s="121"/>
      <c r="AB1862" s="121"/>
    </row>
    <row r="1863" spans="2:28" ht="13.5" customHeight="1">
      <c r="B1863" s="99" t="e">
        <f>INDEX(QSGR!$B$16:$B$1570,AC1862)</f>
        <v>#VALUE!</v>
      </c>
      <c r="C1863" s="121"/>
      <c r="D1863" s="121"/>
      <c r="E1863" s="97">
        <f>INDEX(QSGR!$D$16:$D$11170,AC1862)</f>
        <v>0</v>
      </c>
      <c r="F1863" s="121"/>
      <c r="G1863" s="121"/>
      <c r="H1863" s="121"/>
      <c r="I1863" s="121"/>
      <c r="J1863" s="121"/>
      <c r="K1863" s="121"/>
      <c r="L1863" s="121"/>
      <c r="M1863" s="121"/>
      <c r="N1863" s="121"/>
      <c r="O1863" s="121"/>
      <c r="P1863" s="121"/>
      <c r="Q1863" s="121"/>
      <c r="R1863" s="121"/>
      <c r="S1863" s="121"/>
      <c r="T1863" s="121"/>
      <c r="U1863" s="121"/>
      <c r="V1863" s="121"/>
      <c r="W1863" s="121"/>
      <c r="X1863" s="121"/>
      <c r="Y1863" s="121"/>
      <c r="Z1863" s="121"/>
      <c r="AA1863" s="121"/>
      <c r="AB1863" s="121"/>
    </row>
    <row r="1864" spans="2:28" ht="13.5" customHeight="1">
      <c r="B1864" s="96" t="str">
        <f>CONCATENATE("- Evento: ",INFO!$B$22)</f>
        <v>- Evento: PARTICIPAR DA OPERAÇÃO HORUS.</v>
      </c>
      <c r="C1864" s="121"/>
      <c r="D1864" s="121"/>
      <c r="E1864" s="121"/>
      <c r="F1864" s="121"/>
      <c r="G1864" s="121"/>
      <c r="H1864" s="121"/>
      <c r="I1864" s="121"/>
      <c r="J1864" s="121"/>
      <c r="K1864" s="121"/>
      <c r="L1864" s="121"/>
      <c r="M1864" s="121"/>
      <c r="N1864" s="121"/>
      <c r="O1864" s="121"/>
      <c r="P1864" s="121"/>
      <c r="Q1864" s="121"/>
      <c r="R1864" s="121"/>
      <c r="S1864" s="121"/>
      <c r="T1864" s="121"/>
      <c r="U1864" s="121"/>
      <c r="V1864" s="121"/>
      <c r="W1864" s="121"/>
      <c r="X1864" s="121"/>
      <c r="Y1864" s="121"/>
      <c r="Z1864" s="121"/>
      <c r="AA1864" s="121"/>
      <c r="AB1864" s="121"/>
    </row>
    <row r="1865" spans="2:28" ht="13.5" customHeight="1">
      <c r="B1865" s="98" t="str">
        <f>CONCATENATE("- Documento de Solicitação: ",INFO!$B$24)</f>
        <v>- Documento de Solicitação: TESTE AZUL</v>
      </c>
      <c r="C1865" s="121"/>
      <c r="D1865" s="121"/>
      <c r="E1865" s="121"/>
      <c r="F1865" s="121"/>
      <c r="G1865" s="121"/>
      <c r="H1865" s="121"/>
      <c r="I1865" s="121"/>
      <c r="J1865" s="121"/>
      <c r="K1865" s="121"/>
      <c r="L1865" s="121"/>
      <c r="M1865" s="121"/>
      <c r="N1865" s="121"/>
      <c r="O1865" s="121"/>
      <c r="P1865" s="121"/>
      <c r="Q1865" s="121"/>
      <c r="R1865" s="121"/>
      <c r="S1865" s="121"/>
      <c r="T1865" s="121"/>
      <c r="U1865" s="121"/>
      <c r="V1865" s="121"/>
      <c r="W1865" s="121"/>
      <c r="X1865" s="121"/>
      <c r="Y1865" s="121"/>
      <c r="Z1865" s="121"/>
      <c r="AA1865" s="121"/>
      <c r="AB1865" s="121"/>
    </row>
    <row r="1866" spans="2:28" ht="13.5" customHeight="1">
      <c r="B1866" s="98" t="str">
        <f>CONCATENATE("- Local: ",INFO!$C$18)</f>
        <v>- Local: GUAIRA - PR</v>
      </c>
      <c r="C1866" s="121"/>
      <c r="D1866" s="121"/>
      <c r="E1866" s="121"/>
      <c r="F1866" s="121"/>
      <c r="G1866" s="121"/>
      <c r="H1866" s="121"/>
      <c r="I1866" s="121"/>
      <c r="J1866" s="121"/>
      <c r="K1866" s="121"/>
      <c r="L1866" s="121"/>
      <c r="M1866" s="121"/>
      <c r="N1866" s="121"/>
      <c r="O1866" s="121"/>
      <c r="P1866" s="121"/>
      <c r="Q1866" s="121"/>
      <c r="R1866" s="121"/>
      <c r="S1866" s="121"/>
      <c r="T1866" s="121"/>
      <c r="U1866" s="121"/>
      <c r="V1866" s="121"/>
      <c r="W1866" s="121"/>
      <c r="X1866" s="121"/>
      <c r="Y1866" s="121"/>
      <c r="Z1866" s="121"/>
      <c r="AA1866" s="121"/>
      <c r="AB1866" s="121"/>
    </row>
    <row r="1867" spans="2:28" ht="13.5" customHeight="1">
      <c r="B1867" s="98" t="str">
        <f>CONCATENATE("- Periodo: ",INFO!$C$10," a ",INFO!$C$19)</f>
        <v xml:space="preserve">- Periodo: 22/7/2025  a 23/8/2025 </v>
      </c>
      <c r="C1867" s="121"/>
      <c r="D1867" s="121"/>
      <c r="E1867" s="121"/>
      <c r="F1867" s="121"/>
      <c r="G1867" s="121"/>
      <c r="H1867" s="121"/>
      <c r="I1867" s="121"/>
      <c r="J1867" s="121"/>
      <c r="K1867" s="121"/>
      <c r="L1867" s="121"/>
      <c r="M1867" s="121"/>
      <c r="N1867" s="121"/>
      <c r="O1867" s="121"/>
      <c r="P1867" s="121"/>
      <c r="Q1867" s="121"/>
      <c r="R1867" s="121"/>
      <c r="S1867" s="121"/>
      <c r="T1867" s="121"/>
      <c r="U1867" s="121"/>
      <c r="V1867" s="121"/>
      <c r="W1867" s="121"/>
      <c r="X1867" s="121"/>
      <c r="Y1867" s="121"/>
      <c r="Z1867" s="121"/>
      <c r="AA1867" s="121"/>
      <c r="AB1867" s="121"/>
    </row>
    <row r="1868" spans="2:28" ht="13.5" customHeight="1">
      <c r="B1868" s="98" t="str">
        <f>CONCATENATE("- Nr Dias: ",INFO!$C$20)</f>
        <v>- Nr Dias: 33</v>
      </c>
      <c r="C1868" s="121"/>
      <c r="D1868" s="121"/>
      <c r="E1868" s="121"/>
      <c r="F1868" s="121"/>
      <c r="G1868" s="121"/>
      <c r="H1868" s="121"/>
      <c r="I1868" s="121"/>
      <c r="J1868" s="121"/>
      <c r="K1868" s="121"/>
      <c r="L1868" s="121"/>
      <c r="M1868" s="121"/>
      <c r="N1868" s="121"/>
      <c r="O1868" s="121"/>
      <c r="P1868" s="121"/>
      <c r="Q1868" s="121"/>
      <c r="R1868" s="121"/>
      <c r="S1868" s="121"/>
      <c r="T1868" s="121"/>
      <c r="U1868" s="121"/>
      <c r="V1868" s="121"/>
      <c r="W1868" s="121"/>
      <c r="X1868" s="121"/>
      <c r="Y1868" s="121"/>
      <c r="Z1868" s="121"/>
      <c r="AA1868" s="121"/>
      <c r="AB1868" s="121"/>
    </row>
    <row r="1869" spans="2:28" ht="13.5" customHeight="1">
      <c r="B1869" s="98" t="str">
        <f>CONCATENATE("- Valor Estimado: R$ ",INDEX(QSGR!$J$16:$J$11170,AC1862))</f>
        <v xml:space="preserve">- Valor Estimado: R$ </v>
      </c>
      <c r="C1869" s="121"/>
      <c r="D1869" s="121"/>
      <c r="E1869" s="121"/>
      <c r="F1869" s="121"/>
      <c r="G1869" s="121"/>
      <c r="H1869" s="121"/>
      <c r="I1869" s="121"/>
      <c r="J1869" s="121"/>
      <c r="K1869" s="121"/>
      <c r="L1869" s="121"/>
      <c r="M1869" s="121"/>
      <c r="N1869" s="121"/>
      <c r="O1869" s="121"/>
      <c r="P1869" s="121"/>
      <c r="Q1869" s="121"/>
      <c r="R1869" s="121"/>
      <c r="S1869" s="121"/>
      <c r="T1869" s="121"/>
      <c r="U1869" s="121"/>
      <c r="V1869" s="121"/>
      <c r="W1869" s="121"/>
      <c r="X1869" s="121"/>
      <c r="Y1869" s="121"/>
      <c r="Z1869" s="121"/>
      <c r="AA1869" s="121"/>
      <c r="AB1869" s="121"/>
    </row>
    <row r="1870" spans="2:28" ht="13.5" customHeight="1">
      <c r="B1870" s="100"/>
      <c r="C1870" s="121"/>
      <c r="D1870" s="121"/>
      <c r="E1870" s="121"/>
      <c r="F1870" s="121"/>
      <c r="G1870" s="121"/>
      <c r="H1870" s="121"/>
      <c r="I1870" s="121"/>
      <c r="J1870" s="121"/>
      <c r="K1870" s="121"/>
      <c r="L1870" s="121"/>
      <c r="M1870" s="121"/>
      <c r="N1870" s="121"/>
      <c r="O1870" s="121"/>
      <c r="P1870" s="121"/>
      <c r="Q1870" s="121"/>
      <c r="R1870" s="121"/>
      <c r="S1870" s="121"/>
      <c r="T1870" s="121"/>
      <c r="U1870" s="121"/>
      <c r="V1870" s="121"/>
      <c r="W1870" s="121"/>
      <c r="X1870" s="121"/>
      <c r="Y1870" s="121"/>
      <c r="Z1870" s="121"/>
      <c r="AA1870" s="121"/>
      <c r="AB1870" s="121"/>
    </row>
    <row r="1871" spans="2:28" ht="13.5" customHeight="1">
      <c r="B1871" s="98" t="s">
        <v>55</v>
      </c>
      <c r="C1871" s="121"/>
      <c r="D1871" s="121"/>
      <c r="E1871" s="121"/>
      <c r="F1871" s="121"/>
      <c r="G1871" s="121"/>
      <c r="H1871" s="121"/>
      <c r="I1871" s="121"/>
      <c r="J1871" s="121"/>
      <c r="K1871" s="121"/>
      <c r="L1871" s="121"/>
      <c r="M1871" s="121"/>
      <c r="N1871" s="121"/>
      <c r="O1871" s="121"/>
      <c r="P1871" s="121"/>
      <c r="Q1871" s="121"/>
      <c r="R1871" s="121"/>
      <c r="S1871" s="121"/>
      <c r="T1871" s="121"/>
      <c r="U1871" s="121"/>
      <c r="V1871" s="121"/>
      <c r="W1871" s="121"/>
      <c r="X1871" s="121"/>
      <c r="Y1871" s="121"/>
      <c r="Z1871" s="121"/>
      <c r="AA1871" s="121"/>
      <c r="AB1871" s="121"/>
    </row>
    <row r="1872" spans="2:28" ht="13.5" customHeight="1">
      <c r="B1872" s="99" t="e">
        <f>INDEX(QSGR!$B$16:$B$1570,AC1871)</f>
        <v>#VALUE!</v>
      </c>
      <c r="C1872" s="121"/>
      <c r="D1872" s="121"/>
      <c r="E1872" s="97">
        <f>INDEX(QSGR!$D$16:$D$11170,AC1871)</f>
        <v>0</v>
      </c>
      <c r="F1872" s="121"/>
      <c r="G1872" s="121"/>
      <c r="H1872" s="121"/>
      <c r="I1872" s="121"/>
      <c r="J1872" s="121"/>
      <c r="K1872" s="121"/>
      <c r="L1872" s="121"/>
      <c r="M1872" s="121"/>
      <c r="N1872" s="121"/>
      <c r="O1872" s="121"/>
      <c r="P1872" s="121"/>
      <c r="Q1872" s="121"/>
      <c r="R1872" s="121"/>
      <c r="S1872" s="121"/>
      <c r="T1872" s="121"/>
      <c r="U1872" s="121"/>
      <c r="V1872" s="121"/>
      <c r="W1872" s="121"/>
      <c r="X1872" s="121"/>
      <c r="Y1872" s="121"/>
      <c r="Z1872" s="121"/>
      <c r="AA1872" s="121"/>
      <c r="AB1872" s="121"/>
    </row>
    <row r="1873" spans="2:28" ht="13.5" customHeight="1">
      <c r="B1873" s="96" t="str">
        <f>CONCATENATE("- Evento: ",INFO!$B$22)</f>
        <v>- Evento: PARTICIPAR DA OPERAÇÃO HORUS.</v>
      </c>
      <c r="C1873" s="121"/>
      <c r="D1873" s="121"/>
      <c r="E1873" s="121"/>
      <c r="F1873" s="121"/>
      <c r="G1873" s="121"/>
      <c r="H1873" s="121"/>
      <c r="I1873" s="121"/>
      <c r="J1873" s="121"/>
      <c r="K1873" s="121"/>
      <c r="L1873" s="121"/>
      <c r="M1873" s="121"/>
      <c r="N1873" s="121"/>
      <c r="O1873" s="121"/>
      <c r="P1873" s="121"/>
      <c r="Q1873" s="121"/>
      <c r="R1873" s="121"/>
      <c r="S1873" s="121"/>
      <c r="T1873" s="121"/>
      <c r="U1873" s="121"/>
      <c r="V1873" s="121"/>
      <c r="W1873" s="121"/>
      <c r="X1873" s="121"/>
      <c r="Y1873" s="121"/>
      <c r="Z1873" s="121"/>
      <c r="AA1873" s="121"/>
      <c r="AB1873" s="121"/>
    </row>
    <row r="1874" spans="2:28" ht="13.5" customHeight="1">
      <c r="B1874" s="98" t="str">
        <f>CONCATENATE("- Documento de Solicitação: ",INFO!$B$24)</f>
        <v>- Documento de Solicitação: TESTE AZUL</v>
      </c>
      <c r="C1874" s="121"/>
      <c r="D1874" s="121"/>
      <c r="E1874" s="121"/>
      <c r="F1874" s="121"/>
      <c r="G1874" s="121"/>
      <c r="H1874" s="121"/>
      <c r="I1874" s="121"/>
      <c r="J1874" s="121"/>
      <c r="K1874" s="121"/>
      <c r="L1874" s="121"/>
      <c r="M1874" s="121"/>
      <c r="N1874" s="121"/>
      <c r="O1874" s="121"/>
      <c r="P1874" s="121"/>
      <c r="Q1874" s="121"/>
      <c r="R1874" s="121"/>
      <c r="S1874" s="121"/>
      <c r="T1874" s="121"/>
      <c r="U1874" s="121"/>
      <c r="V1874" s="121"/>
      <c r="W1874" s="121"/>
      <c r="X1874" s="121"/>
      <c r="Y1874" s="121"/>
      <c r="Z1874" s="121"/>
      <c r="AA1874" s="121"/>
      <c r="AB1874" s="121"/>
    </row>
    <row r="1875" spans="2:28" ht="13.5" customHeight="1">
      <c r="B1875" s="98" t="str">
        <f>CONCATENATE("- Local: ",INFO!$C$18)</f>
        <v>- Local: GUAIRA - PR</v>
      </c>
      <c r="C1875" s="121"/>
      <c r="D1875" s="121"/>
      <c r="E1875" s="121"/>
      <c r="F1875" s="121"/>
      <c r="G1875" s="121"/>
      <c r="H1875" s="121"/>
      <c r="I1875" s="121"/>
      <c r="J1875" s="121"/>
      <c r="K1875" s="121"/>
      <c r="L1875" s="121"/>
      <c r="M1875" s="121"/>
      <c r="N1875" s="121"/>
      <c r="O1875" s="121"/>
      <c r="P1875" s="121"/>
      <c r="Q1875" s="121"/>
      <c r="R1875" s="121"/>
      <c r="S1875" s="121"/>
      <c r="T1875" s="121"/>
      <c r="U1875" s="121"/>
      <c r="V1875" s="121"/>
      <c r="W1875" s="121"/>
      <c r="X1875" s="121"/>
      <c r="Y1875" s="121"/>
      <c r="Z1875" s="121"/>
      <c r="AA1875" s="121"/>
      <c r="AB1875" s="121"/>
    </row>
    <row r="1876" spans="2:28" ht="13.5" customHeight="1">
      <c r="B1876" s="98" t="str">
        <f>CONCATENATE("- Periodo: ",INFO!$C$10," a ",INFO!$C$19)</f>
        <v xml:space="preserve">- Periodo: 22/7/2025  a 23/8/2025 </v>
      </c>
      <c r="C1876" s="121"/>
      <c r="D1876" s="121"/>
      <c r="E1876" s="121"/>
      <c r="F1876" s="121"/>
      <c r="G1876" s="121"/>
      <c r="H1876" s="121"/>
      <c r="I1876" s="121"/>
      <c r="J1876" s="121"/>
      <c r="K1876" s="121"/>
      <c r="L1876" s="121"/>
      <c r="M1876" s="121"/>
      <c r="N1876" s="121"/>
      <c r="O1876" s="121"/>
      <c r="P1876" s="121"/>
      <c r="Q1876" s="121"/>
      <c r="R1876" s="121"/>
      <c r="S1876" s="121"/>
      <c r="T1876" s="121"/>
      <c r="U1876" s="121"/>
      <c r="V1876" s="121"/>
      <c r="W1876" s="121"/>
      <c r="X1876" s="121"/>
      <c r="Y1876" s="121"/>
      <c r="Z1876" s="121"/>
      <c r="AA1876" s="121"/>
      <c r="AB1876" s="121"/>
    </row>
    <row r="1877" spans="2:28" ht="13.5" customHeight="1">
      <c r="B1877" s="98" t="str">
        <f>CONCATENATE("- Nr Dias: ",INFO!$C$20)</f>
        <v>- Nr Dias: 33</v>
      </c>
      <c r="C1877" s="121"/>
      <c r="D1877" s="121"/>
      <c r="E1877" s="121"/>
      <c r="F1877" s="121"/>
      <c r="G1877" s="121"/>
      <c r="H1877" s="121"/>
      <c r="I1877" s="121"/>
      <c r="J1877" s="121"/>
      <c r="K1877" s="121"/>
      <c r="L1877" s="121"/>
      <c r="M1877" s="121"/>
      <c r="N1877" s="121"/>
      <c r="O1877" s="121"/>
      <c r="P1877" s="121"/>
      <c r="Q1877" s="121"/>
      <c r="R1877" s="121"/>
      <c r="S1877" s="121"/>
      <c r="T1877" s="121"/>
      <c r="U1877" s="121"/>
      <c r="V1877" s="121"/>
      <c r="W1877" s="121"/>
      <c r="X1877" s="121"/>
      <c r="Y1877" s="121"/>
      <c r="Z1877" s="121"/>
      <c r="AA1877" s="121"/>
      <c r="AB1877" s="121"/>
    </row>
    <row r="1878" spans="2:28" ht="13.5" customHeight="1">
      <c r="B1878" s="98" t="str">
        <f>CONCATENATE("- Valor Estimado: R$ ",INDEX(QSGR!$J$16:$J$11170,AC1871))</f>
        <v xml:space="preserve">- Valor Estimado: R$ </v>
      </c>
      <c r="C1878" s="121"/>
      <c r="D1878" s="121"/>
      <c r="E1878" s="121"/>
      <c r="F1878" s="121"/>
      <c r="G1878" s="121"/>
      <c r="H1878" s="121"/>
      <c r="I1878" s="121"/>
      <c r="J1878" s="121"/>
      <c r="K1878" s="121"/>
      <c r="L1878" s="121"/>
      <c r="M1878" s="121"/>
      <c r="N1878" s="121"/>
      <c r="O1878" s="121"/>
      <c r="P1878" s="121"/>
      <c r="Q1878" s="121"/>
      <c r="R1878" s="121"/>
      <c r="S1878" s="121"/>
      <c r="T1878" s="121"/>
      <c r="U1878" s="121"/>
      <c r="V1878" s="121"/>
      <c r="W1878" s="121"/>
      <c r="X1878" s="121"/>
      <c r="Y1878" s="121"/>
      <c r="Z1878" s="121"/>
      <c r="AA1878" s="121"/>
      <c r="AB1878" s="121"/>
    </row>
    <row r="1879" spans="2:28" ht="13.5" customHeight="1">
      <c r="B1879" s="100"/>
      <c r="C1879" s="121"/>
      <c r="D1879" s="121"/>
      <c r="E1879" s="121"/>
      <c r="F1879" s="121"/>
      <c r="G1879" s="121"/>
      <c r="H1879" s="121"/>
      <c r="I1879" s="121"/>
      <c r="J1879" s="121"/>
      <c r="K1879" s="121"/>
      <c r="L1879" s="121"/>
      <c r="M1879" s="121"/>
      <c r="N1879" s="121"/>
      <c r="O1879" s="121"/>
      <c r="P1879" s="121"/>
      <c r="Q1879" s="121"/>
      <c r="R1879" s="121"/>
      <c r="S1879" s="121"/>
      <c r="T1879" s="121"/>
      <c r="U1879" s="121"/>
      <c r="V1879" s="121"/>
      <c r="W1879" s="121"/>
      <c r="X1879" s="121"/>
      <c r="Y1879" s="121"/>
      <c r="Z1879" s="121"/>
      <c r="AA1879" s="121"/>
      <c r="AB1879" s="121"/>
    </row>
    <row r="1880" spans="2:28" ht="13.5" customHeight="1">
      <c r="B1880" s="98" t="s">
        <v>55</v>
      </c>
      <c r="C1880" s="121"/>
      <c r="D1880" s="121"/>
      <c r="E1880" s="121"/>
      <c r="F1880" s="121"/>
      <c r="G1880" s="121"/>
      <c r="H1880" s="121"/>
      <c r="I1880" s="121"/>
      <c r="J1880" s="121"/>
      <c r="K1880" s="121"/>
      <c r="L1880" s="121"/>
      <c r="M1880" s="121"/>
      <c r="N1880" s="121"/>
      <c r="O1880" s="121"/>
      <c r="P1880" s="121"/>
      <c r="Q1880" s="121"/>
      <c r="R1880" s="121"/>
      <c r="S1880" s="121"/>
      <c r="T1880" s="121"/>
      <c r="U1880" s="121"/>
      <c r="V1880" s="121"/>
      <c r="W1880" s="121"/>
      <c r="X1880" s="121"/>
      <c r="Y1880" s="121"/>
      <c r="Z1880" s="121"/>
      <c r="AA1880" s="121"/>
      <c r="AB1880" s="121"/>
    </row>
    <row r="1881" spans="2:28" ht="13.5" customHeight="1">
      <c r="B1881" s="99" t="e">
        <f>INDEX(QSGR!$B$16:$B$1570,AC1880)</f>
        <v>#VALUE!</v>
      </c>
      <c r="C1881" s="121"/>
      <c r="D1881" s="121"/>
      <c r="E1881" s="97">
        <f>INDEX(QSGR!$D$16:$D$11170,AC1880)</f>
        <v>0</v>
      </c>
      <c r="F1881" s="121"/>
      <c r="G1881" s="121"/>
      <c r="H1881" s="121"/>
      <c r="I1881" s="121"/>
      <c r="J1881" s="121"/>
      <c r="K1881" s="121"/>
      <c r="L1881" s="121"/>
      <c r="M1881" s="121"/>
      <c r="N1881" s="121"/>
      <c r="O1881" s="121"/>
      <c r="P1881" s="121"/>
      <c r="Q1881" s="121"/>
      <c r="R1881" s="121"/>
      <c r="S1881" s="121"/>
      <c r="T1881" s="121"/>
      <c r="U1881" s="121"/>
      <c r="V1881" s="121"/>
      <c r="W1881" s="121"/>
      <c r="X1881" s="121"/>
      <c r="Y1881" s="121"/>
      <c r="Z1881" s="121"/>
      <c r="AA1881" s="121"/>
      <c r="AB1881" s="121"/>
    </row>
    <row r="1882" spans="2:28" ht="13.5" customHeight="1">
      <c r="B1882" s="96" t="str">
        <f>CONCATENATE("- Evento: ",INFO!$B$22)</f>
        <v>- Evento: PARTICIPAR DA OPERAÇÃO HORUS.</v>
      </c>
      <c r="C1882" s="121"/>
      <c r="D1882" s="121"/>
      <c r="E1882" s="121"/>
      <c r="F1882" s="121"/>
      <c r="G1882" s="121"/>
      <c r="H1882" s="121"/>
      <c r="I1882" s="121"/>
      <c r="J1882" s="121"/>
      <c r="K1882" s="121"/>
      <c r="L1882" s="121"/>
      <c r="M1882" s="121"/>
      <c r="N1882" s="121"/>
      <c r="O1882" s="121"/>
      <c r="P1882" s="121"/>
      <c r="Q1882" s="121"/>
      <c r="R1882" s="121"/>
      <c r="S1882" s="121"/>
      <c r="T1882" s="121"/>
      <c r="U1882" s="121"/>
      <c r="V1882" s="121"/>
      <c r="W1882" s="121"/>
      <c r="X1882" s="121"/>
      <c r="Y1882" s="121"/>
      <c r="Z1882" s="121"/>
      <c r="AA1882" s="121"/>
      <c r="AB1882" s="121"/>
    </row>
    <row r="1883" spans="2:28" ht="13.5" customHeight="1">
      <c r="B1883" s="98" t="str">
        <f>CONCATENATE("- Documento de Solicitação: ",INFO!$B$24)</f>
        <v>- Documento de Solicitação: TESTE AZUL</v>
      </c>
      <c r="C1883" s="121"/>
      <c r="D1883" s="121"/>
      <c r="E1883" s="121"/>
      <c r="F1883" s="121"/>
      <c r="G1883" s="121"/>
      <c r="H1883" s="121"/>
      <c r="I1883" s="121"/>
      <c r="J1883" s="121"/>
      <c r="K1883" s="121"/>
      <c r="L1883" s="121"/>
      <c r="M1883" s="121"/>
      <c r="N1883" s="121"/>
      <c r="O1883" s="121"/>
      <c r="P1883" s="121"/>
      <c r="Q1883" s="121"/>
      <c r="R1883" s="121"/>
      <c r="S1883" s="121"/>
      <c r="T1883" s="121"/>
      <c r="U1883" s="121"/>
      <c r="V1883" s="121"/>
      <c r="W1883" s="121"/>
      <c r="X1883" s="121"/>
      <c r="Y1883" s="121"/>
      <c r="Z1883" s="121"/>
      <c r="AA1883" s="121"/>
      <c r="AB1883" s="121"/>
    </row>
    <row r="1884" spans="2:28" ht="13.5" customHeight="1">
      <c r="B1884" s="98" t="str">
        <f>CONCATENATE("- Local: ",INFO!$C$18)</f>
        <v>- Local: GUAIRA - PR</v>
      </c>
      <c r="C1884" s="121"/>
      <c r="D1884" s="121"/>
      <c r="E1884" s="121"/>
      <c r="F1884" s="121"/>
      <c r="G1884" s="121"/>
      <c r="H1884" s="121"/>
      <c r="I1884" s="121"/>
      <c r="J1884" s="121"/>
      <c r="K1884" s="121"/>
      <c r="L1884" s="121"/>
      <c r="M1884" s="121"/>
      <c r="N1884" s="121"/>
      <c r="O1884" s="121"/>
      <c r="P1884" s="121"/>
      <c r="Q1884" s="121"/>
      <c r="R1884" s="121"/>
      <c r="S1884" s="121"/>
      <c r="T1884" s="121"/>
      <c r="U1884" s="121"/>
      <c r="V1884" s="121"/>
      <c r="W1884" s="121"/>
      <c r="X1884" s="121"/>
      <c r="Y1884" s="121"/>
      <c r="Z1884" s="121"/>
      <c r="AA1884" s="121"/>
      <c r="AB1884" s="121"/>
    </row>
    <row r="1885" spans="2:28" ht="13.5" customHeight="1">
      <c r="B1885" s="98" t="str">
        <f>CONCATENATE("- Periodo: ",INFO!$C$10," a ",INFO!$C$19)</f>
        <v xml:space="preserve">- Periodo: 22/7/2025  a 23/8/2025 </v>
      </c>
      <c r="C1885" s="121"/>
      <c r="D1885" s="121"/>
      <c r="E1885" s="121"/>
      <c r="F1885" s="121"/>
      <c r="G1885" s="121"/>
      <c r="H1885" s="121"/>
      <c r="I1885" s="121"/>
      <c r="J1885" s="121"/>
      <c r="K1885" s="121"/>
      <c r="L1885" s="121"/>
      <c r="M1885" s="121"/>
      <c r="N1885" s="121"/>
      <c r="O1885" s="121"/>
      <c r="P1885" s="121"/>
      <c r="Q1885" s="121"/>
      <c r="R1885" s="121"/>
      <c r="S1885" s="121"/>
      <c r="T1885" s="121"/>
      <c r="U1885" s="121"/>
      <c r="V1885" s="121"/>
      <c r="W1885" s="121"/>
      <c r="X1885" s="121"/>
      <c r="Y1885" s="121"/>
      <c r="Z1885" s="121"/>
      <c r="AA1885" s="121"/>
      <c r="AB1885" s="121"/>
    </row>
    <row r="1886" spans="2:28" ht="13.5" customHeight="1">
      <c r="B1886" s="98" t="str">
        <f>CONCATENATE("- Nr Dias: ",INFO!$C$20)</f>
        <v>- Nr Dias: 33</v>
      </c>
      <c r="C1886" s="121"/>
      <c r="D1886" s="121"/>
      <c r="E1886" s="121"/>
      <c r="F1886" s="121"/>
      <c r="G1886" s="121"/>
      <c r="H1886" s="121"/>
      <c r="I1886" s="121"/>
      <c r="J1886" s="121"/>
      <c r="K1886" s="121"/>
      <c r="L1886" s="121"/>
      <c r="M1886" s="121"/>
      <c r="N1886" s="121"/>
      <c r="O1886" s="121"/>
      <c r="P1886" s="121"/>
      <c r="Q1886" s="121"/>
      <c r="R1886" s="121"/>
      <c r="S1886" s="121"/>
      <c r="T1886" s="121"/>
      <c r="U1886" s="121"/>
      <c r="V1886" s="121"/>
      <c r="W1886" s="121"/>
      <c r="X1886" s="121"/>
      <c r="Y1886" s="121"/>
      <c r="Z1886" s="121"/>
      <c r="AA1886" s="121"/>
      <c r="AB1886" s="121"/>
    </row>
    <row r="1887" spans="2:28" ht="13.5" customHeight="1">
      <c r="B1887" s="98" t="str">
        <f>CONCATENATE("- Valor Estimado: R$ ",INDEX(QSGR!$J$16:$J$11170,AC1880))</f>
        <v xml:space="preserve">- Valor Estimado: R$ </v>
      </c>
      <c r="C1887" s="121"/>
      <c r="D1887" s="121"/>
      <c r="E1887" s="121"/>
      <c r="F1887" s="121"/>
      <c r="G1887" s="121"/>
      <c r="H1887" s="121"/>
      <c r="I1887" s="121"/>
      <c r="J1887" s="121"/>
      <c r="K1887" s="121"/>
      <c r="L1887" s="121"/>
      <c r="M1887" s="121"/>
      <c r="N1887" s="121"/>
      <c r="O1887" s="121"/>
      <c r="P1887" s="121"/>
      <c r="Q1887" s="121"/>
      <c r="R1887" s="121"/>
      <c r="S1887" s="121"/>
      <c r="T1887" s="121"/>
      <c r="U1887" s="121"/>
      <c r="V1887" s="121"/>
      <c r="W1887" s="121"/>
      <c r="X1887" s="121"/>
      <c r="Y1887" s="121"/>
      <c r="Z1887" s="121"/>
      <c r="AA1887" s="121"/>
      <c r="AB1887" s="121"/>
    </row>
    <row r="1888" spans="2:28" ht="13.5" customHeight="1">
      <c r="B1888" s="100"/>
      <c r="C1888" s="121"/>
      <c r="D1888" s="121"/>
      <c r="E1888" s="121"/>
      <c r="F1888" s="121"/>
      <c r="G1888" s="121"/>
      <c r="H1888" s="121"/>
      <c r="I1888" s="121"/>
      <c r="J1888" s="121"/>
      <c r="K1888" s="121"/>
      <c r="L1888" s="121"/>
      <c r="M1888" s="121"/>
      <c r="N1888" s="121"/>
      <c r="O1888" s="121"/>
      <c r="P1888" s="121"/>
      <c r="Q1888" s="121"/>
      <c r="R1888" s="121"/>
      <c r="S1888" s="121"/>
      <c r="T1888" s="121"/>
      <c r="U1888" s="121"/>
      <c r="V1888" s="121"/>
      <c r="W1888" s="121"/>
      <c r="X1888" s="121"/>
      <c r="Y1888" s="121"/>
      <c r="Z1888" s="121"/>
      <c r="AA1888" s="121"/>
      <c r="AB1888" s="121"/>
    </row>
    <row r="1889" spans="2:28" ht="13.5" customHeight="1">
      <c r="B1889" s="98" t="s">
        <v>55</v>
      </c>
      <c r="C1889" s="121"/>
      <c r="D1889" s="121"/>
      <c r="E1889" s="121"/>
      <c r="F1889" s="121"/>
      <c r="G1889" s="121"/>
      <c r="H1889" s="121"/>
      <c r="I1889" s="121"/>
      <c r="J1889" s="121"/>
      <c r="K1889" s="121"/>
      <c r="L1889" s="121"/>
      <c r="M1889" s="121"/>
      <c r="N1889" s="121"/>
      <c r="O1889" s="121"/>
      <c r="P1889" s="121"/>
      <c r="Q1889" s="121"/>
      <c r="R1889" s="121"/>
      <c r="S1889" s="121"/>
      <c r="T1889" s="121"/>
      <c r="U1889" s="121"/>
      <c r="V1889" s="121"/>
      <c r="W1889" s="121"/>
      <c r="X1889" s="121"/>
      <c r="Y1889" s="121"/>
      <c r="Z1889" s="121"/>
      <c r="AA1889" s="121"/>
      <c r="AB1889" s="121"/>
    </row>
    <row r="1890" spans="2:28" ht="13.5" customHeight="1">
      <c r="B1890" s="99" t="e">
        <f>INDEX(QSGR!$B$16:$B$1570,AC1889)</f>
        <v>#VALUE!</v>
      </c>
      <c r="C1890" s="121"/>
      <c r="D1890" s="121"/>
      <c r="E1890" s="97">
        <f>INDEX(QSGR!$D$16:$D$11170,AC1889)</f>
        <v>0</v>
      </c>
      <c r="F1890" s="121"/>
      <c r="G1890" s="121"/>
      <c r="H1890" s="121"/>
      <c r="I1890" s="121"/>
      <c r="J1890" s="121"/>
      <c r="K1890" s="121"/>
      <c r="L1890" s="121"/>
      <c r="M1890" s="121"/>
      <c r="N1890" s="121"/>
      <c r="O1890" s="121"/>
      <c r="P1890" s="121"/>
      <c r="Q1890" s="121"/>
      <c r="R1890" s="121"/>
      <c r="S1890" s="121"/>
      <c r="T1890" s="121"/>
      <c r="U1890" s="121"/>
      <c r="V1890" s="121"/>
      <c r="W1890" s="121"/>
      <c r="X1890" s="121"/>
      <c r="Y1890" s="121"/>
      <c r="Z1890" s="121"/>
      <c r="AA1890" s="121"/>
      <c r="AB1890" s="121"/>
    </row>
    <row r="1891" spans="2:28" ht="13.5" customHeight="1">
      <c r="B1891" s="96" t="str">
        <f>CONCATENATE("- Evento: ",INFO!$B$22)</f>
        <v>- Evento: PARTICIPAR DA OPERAÇÃO HORUS.</v>
      </c>
      <c r="C1891" s="121"/>
      <c r="D1891" s="121"/>
      <c r="E1891" s="121"/>
      <c r="F1891" s="121"/>
      <c r="G1891" s="121"/>
      <c r="H1891" s="121"/>
      <c r="I1891" s="121"/>
      <c r="J1891" s="121"/>
      <c r="K1891" s="121"/>
      <c r="L1891" s="121"/>
      <c r="M1891" s="121"/>
      <c r="N1891" s="121"/>
      <c r="O1891" s="121"/>
      <c r="P1891" s="121"/>
      <c r="Q1891" s="121"/>
      <c r="R1891" s="121"/>
      <c r="S1891" s="121"/>
      <c r="T1891" s="121"/>
      <c r="U1891" s="121"/>
      <c r="V1891" s="121"/>
      <c r="W1891" s="121"/>
      <c r="X1891" s="121"/>
      <c r="Y1891" s="121"/>
      <c r="Z1891" s="121"/>
      <c r="AA1891" s="121"/>
      <c r="AB1891" s="121"/>
    </row>
    <row r="1892" spans="2:28" ht="13.5" customHeight="1">
      <c r="B1892" s="98" t="str">
        <f>CONCATENATE("- Documento de Solicitação: ",INFO!$B$24)</f>
        <v>- Documento de Solicitação: TESTE AZUL</v>
      </c>
      <c r="C1892" s="121"/>
      <c r="D1892" s="121"/>
      <c r="E1892" s="121"/>
      <c r="F1892" s="121"/>
      <c r="G1892" s="121"/>
      <c r="H1892" s="121"/>
      <c r="I1892" s="121"/>
      <c r="J1892" s="121"/>
      <c r="K1892" s="121"/>
      <c r="L1892" s="121"/>
      <c r="M1892" s="121"/>
      <c r="N1892" s="121"/>
      <c r="O1892" s="121"/>
      <c r="P1892" s="121"/>
      <c r="Q1892" s="121"/>
      <c r="R1892" s="121"/>
      <c r="S1892" s="121"/>
      <c r="T1892" s="121"/>
      <c r="U1892" s="121"/>
      <c r="V1892" s="121"/>
      <c r="W1892" s="121"/>
      <c r="X1892" s="121"/>
      <c r="Y1892" s="121"/>
      <c r="Z1892" s="121"/>
      <c r="AA1892" s="121"/>
      <c r="AB1892" s="121"/>
    </row>
    <row r="1893" spans="2:28" ht="13.5" customHeight="1">
      <c r="B1893" s="98" t="str">
        <f>CONCATENATE("- Local: ",INFO!$C$18)</f>
        <v>- Local: GUAIRA - PR</v>
      </c>
      <c r="C1893" s="121"/>
      <c r="D1893" s="121"/>
      <c r="E1893" s="121"/>
      <c r="F1893" s="121"/>
      <c r="G1893" s="121"/>
      <c r="H1893" s="121"/>
      <c r="I1893" s="121"/>
      <c r="J1893" s="121"/>
      <c r="K1893" s="121"/>
      <c r="L1893" s="121"/>
      <c r="M1893" s="121"/>
      <c r="N1893" s="121"/>
      <c r="O1893" s="121"/>
      <c r="P1893" s="121"/>
      <c r="Q1893" s="121"/>
      <c r="R1893" s="121"/>
      <c r="S1893" s="121"/>
      <c r="T1893" s="121"/>
      <c r="U1893" s="121"/>
      <c r="V1893" s="121"/>
      <c r="W1893" s="121"/>
      <c r="X1893" s="121"/>
      <c r="Y1893" s="121"/>
      <c r="Z1893" s="121"/>
      <c r="AA1893" s="121"/>
      <c r="AB1893" s="121"/>
    </row>
    <row r="1894" spans="2:28" ht="13.5" customHeight="1">
      <c r="B1894" s="98" t="str">
        <f>CONCATENATE("- Periodo: ",INFO!$C$10," a ",INFO!$C$19)</f>
        <v xml:space="preserve">- Periodo: 22/7/2025  a 23/8/2025 </v>
      </c>
      <c r="C1894" s="121"/>
      <c r="D1894" s="121"/>
      <c r="E1894" s="121"/>
      <c r="F1894" s="121"/>
      <c r="G1894" s="121"/>
      <c r="H1894" s="121"/>
      <c r="I1894" s="121"/>
      <c r="J1894" s="121"/>
      <c r="K1894" s="121"/>
      <c r="L1894" s="121"/>
      <c r="M1894" s="121"/>
      <c r="N1894" s="121"/>
      <c r="O1894" s="121"/>
      <c r="P1894" s="121"/>
      <c r="Q1894" s="121"/>
      <c r="R1894" s="121"/>
      <c r="S1894" s="121"/>
      <c r="T1894" s="121"/>
      <c r="U1894" s="121"/>
      <c r="V1894" s="121"/>
      <c r="W1894" s="121"/>
      <c r="X1894" s="121"/>
      <c r="Y1894" s="121"/>
      <c r="Z1894" s="121"/>
      <c r="AA1894" s="121"/>
      <c r="AB1894" s="121"/>
    </row>
    <row r="1895" spans="2:28" ht="13.5" customHeight="1">
      <c r="B1895" s="98" t="str">
        <f>CONCATENATE("- Nr Dias: ",INFO!$C$20)</f>
        <v>- Nr Dias: 33</v>
      </c>
      <c r="C1895" s="121"/>
      <c r="D1895" s="121"/>
      <c r="E1895" s="121"/>
      <c r="F1895" s="121"/>
      <c r="G1895" s="121"/>
      <c r="H1895" s="121"/>
      <c r="I1895" s="121"/>
      <c r="J1895" s="121"/>
      <c r="K1895" s="121"/>
      <c r="L1895" s="121"/>
      <c r="M1895" s="121"/>
      <c r="N1895" s="121"/>
      <c r="O1895" s="121"/>
      <c r="P1895" s="121"/>
      <c r="Q1895" s="121"/>
      <c r="R1895" s="121"/>
      <c r="S1895" s="121"/>
      <c r="T1895" s="121"/>
      <c r="U1895" s="121"/>
      <c r="V1895" s="121"/>
      <c r="W1895" s="121"/>
      <c r="X1895" s="121"/>
      <c r="Y1895" s="121"/>
      <c r="Z1895" s="121"/>
      <c r="AA1895" s="121"/>
      <c r="AB1895" s="121"/>
    </row>
    <row r="1896" spans="2:28" ht="13.5" customHeight="1">
      <c r="B1896" s="98" t="str">
        <f>CONCATENATE("- Valor Estimado: R$ ",INDEX(QSGR!$J$16:$J$11170,AC1889))</f>
        <v xml:space="preserve">- Valor Estimado: R$ </v>
      </c>
      <c r="C1896" s="121"/>
      <c r="D1896" s="121"/>
      <c r="E1896" s="121"/>
      <c r="F1896" s="121"/>
      <c r="G1896" s="121"/>
      <c r="H1896" s="121"/>
      <c r="I1896" s="121"/>
      <c r="J1896" s="121"/>
      <c r="K1896" s="121"/>
      <c r="L1896" s="121"/>
      <c r="M1896" s="121"/>
      <c r="N1896" s="121"/>
      <c r="O1896" s="121"/>
      <c r="P1896" s="121"/>
      <c r="Q1896" s="121"/>
      <c r="R1896" s="121"/>
      <c r="S1896" s="121"/>
      <c r="T1896" s="121"/>
      <c r="U1896" s="121"/>
      <c r="V1896" s="121"/>
      <c r="W1896" s="121"/>
      <c r="X1896" s="121"/>
      <c r="Y1896" s="121"/>
      <c r="Z1896" s="121"/>
      <c r="AA1896" s="121"/>
      <c r="AB1896" s="121"/>
    </row>
    <row r="1897" spans="2:28" ht="13.5" customHeight="1">
      <c r="B1897" s="100"/>
      <c r="C1897" s="121"/>
      <c r="D1897" s="121"/>
      <c r="E1897" s="121"/>
      <c r="F1897" s="121"/>
      <c r="G1897" s="121"/>
      <c r="H1897" s="121"/>
      <c r="I1897" s="121"/>
      <c r="J1897" s="121"/>
      <c r="K1897" s="121"/>
      <c r="L1897" s="121"/>
      <c r="M1897" s="121"/>
      <c r="N1897" s="121"/>
      <c r="O1897" s="121"/>
      <c r="P1897" s="121"/>
      <c r="Q1897" s="121"/>
      <c r="R1897" s="121"/>
      <c r="S1897" s="121"/>
      <c r="T1897" s="121"/>
      <c r="U1897" s="121"/>
      <c r="V1897" s="121"/>
      <c r="W1897" s="121"/>
      <c r="X1897" s="121"/>
      <c r="Y1897" s="121"/>
      <c r="Z1897" s="121"/>
      <c r="AA1897" s="121"/>
      <c r="AB1897" s="121"/>
    </row>
    <row r="1898" spans="2:28" ht="13.5" customHeight="1">
      <c r="B1898" s="98" t="s">
        <v>55</v>
      </c>
      <c r="C1898" s="121"/>
      <c r="D1898" s="121"/>
      <c r="E1898" s="121"/>
      <c r="F1898" s="121"/>
      <c r="G1898" s="121"/>
      <c r="H1898" s="121"/>
      <c r="I1898" s="121"/>
      <c r="J1898" s="121"/>
      <c r="K1898" s="121"/>
      <c r="L1898" s="121"/>
      <c r="M1898" s="121"/>
      <c r="N1898" s="121"/>
      <c r="O1898" s="121"/>
      <c r="P1898" s="121"/>
      <c r="Q1898" s="121"/>
      <c r="R1898" s="121"/>
      <c r="S1898" s="121"/>
      <c r="T1898" s="121"/>
      <c r="U1898" s="121"/>
      <c r="V1898" s="121"/>
      <c r="W1898" s="121"/>
      <c r="X1898" s="121"/>
      <c r="Y1898" s="121"/>
      <c r="Z1898" s="121"/>
      <c r="AA1898" s="121"/>
      <c r="AB1898" s="121"/>
    </row>
    <row r="1899" spans="2:28" ht="13.5" customHeight="1">
      <c r="B1899" s="99" t="e">
        <f>INDEX(QSGR!$B$16:$B$1570,AC1898)</f>
        <v>#VALUE!</v>
      </c>
      <c r="C1899" s="121"/>
      <c r="D1899" s="121"/>
      <c r="E1899" s="97">
        <f>INDEX(QSGR!$D$16:$D$11170,AC1898)</f>
        <v>0</v>
      </c>
      <c r="F1899" s="121"/>
      <c r="G1899" s="121"/>
      <c r="H1899" s="121"/>
      <c r="I1899" s="121"/>
      <c r="J1899" s="121"/>
      <c r="K1899" s="121"/>
      <c r="L1899" s="121"/>
      <c r="M1899" s="121"/>
      <c r="N1899" s="121"/>
      <c r="O1899" s="121"/>
      <c r="P1899" s="121"/>
      <c r="Q1899" s="121"/>
      <c r="R1899" s="121"/>
      <c r="S1899" s="121"/>
      <c r="T1899" s="121"/>
      <c r="U1899" s="121"/>
      <c r="V1899" s="121"/>
      <c r="W1899" s="121"/>
      <c r="X1899" s="121"/>
      <c r="Y1899" s="121"/>
      <c r="Z1899" s="121"/>
      <c r="AA1899" s="121"/>
      <c r="AB1899" s="121"/>
    </row>
    <row r="1900" spans="2:28" ht="13.5" customHeight="1">
      <c r="B1900" s="96" t="str">
        <f>CONCATENATE("- Evento: ",INFO!$B$22)</f>
        <v>- Evento: PARTICIPAR DA OPERAÇÃO HORUS.</v>
      </c>
      <c r="C1900" s="121"/>
      <c r="D1900" s="121"/>
      <c r="E1900" s="121"/>
      <c r="F1900" s="121"/>
      <c r="G1900" s="121"/>
      <c r="H1900" s="121"/>
      <c r="I1900" s="121"/>
      <c r="J1900" s="121"/>
      <c r="K1900" s="121"/>
      <c r="L1900" s="121"/>
      <c r="M1900" s="121"/>
      <c r="N1900" s="121"/>
      <c r="O1900" s="121"/>
      <c r="P1900" s="121"/>
      <c r="Q1900" s="121"/>
      <c r="R1900" s="121"/>
      <c r="S1900" s="121"/>
      <c r="T1900" s="121"/>
      <c r="U1900" s="121"/>
      <c r="V1900" s="121"/>
      <c r="W1900" s="121"/>
      <c r="X1900" s="121"/>
      <c r="Y1900" s="121"/>
      <c r="Z1900" s="121"/>
      <c r="AA1900" s="121"/>
      <c r="AB1900" s="121"/>
    </row>
    <row r="1901" spans="2:28" ht="13.5" customHeight="1">
      <c r="B1901" s="98" t="str">
        <f>CONCATENATE("- Documento de Solicitação: ",INFO!$B$24)</f>
        <v>- Documento de Solicitação: TESTE AZUL</v>
      </c>
      <c r="C1901" s="121"/>
      <c r="D1901" s="121"/>
      <c r="E1901" s="121"/>
      <c r="F1901" s="121"/>
      <c r="G1901" s="121"/>
      <c r="H1901" s="121"/>
      <c r="I1901" s="121"/>
      <c r="J1901" s="121"/>
      <c r="K1901" s="121"/>
      <c r="L1901" s="121"/>
      <c r="M1901" s="121"/>
      <c r="N1901" s="121"/>
      <c r="O1901" s="121"/>
      <c r="P1901" s="121"/>
      <c r="Q1901" s="121"/>
      <c r="R1901" s="121"/>
      <c r="S1901" s="121"/>
      <c r="T1901" s="121"/>
      <c r="U1901" s="121"/>
      <c r="V1901" s="121"/>
      <c r="W1901" s="121"/>
      <c r="X1901" s="121"/>
      <c r="Y1901" s="121"/>
      <c r="Z1901" s="121"/>
      <c r="AA1901" s="121"/>
      <c r="AB1901" s="121"/>
    </row>
    <row r="1902" spans="2:28" ht="13.5" customHeight="1">
      <c r="B1902" s="98" t="str">
        <f>CONCATENATE("- Local: ",INFO!$C$18)</f>
        <v>- Local: GUAIRA - PR</v>
      </c>
      <c r="C1902" s="121"/>
      <c r="D1902" s="121"/>
      <c r="E1902" s="121"/>
      <c r="F1902" s="121"/>
      <c r="G1902" s="121"/>
      <c r="H1902" s="121"/>
      <c r="I1902" s="121"/>
      <c r="J1902" s="121"/>
      <c r="K1902" s="121"/>
      <c r="L1902" s="121"/>
      <c r="M1902" s="121"/>
      <c r="N1902" s="121"/>
      <c r="O1902" s="121"/>
      <c r="P1902" s="121"/>
      <c r="Q1902" s="121"/>
      <c r="R1902" s="121"/>
      <c r="S1902" s="121"/>
      <c r="T1902" s="121"/>
      <c r="U1902" s="121"/>
      <c r="V1902" s="121"/>
      <c r="W1902" s="121"/>
      <c r="X1902" s="121"/>
      <c r="Y1902" s="121"/>
      <c r="Z1902" s="121"/>
      <c r="AA1902" s="121"/>
      <c r="AB1902" s="121"/>
    </row>
    <row r="1903" spans="2:28" ht="13.5" customHeight="1">
      <c r="B1903" s="98" t="str">
        <f>CONCATENATE("- Periodo: ",INFO!$C$10," a ",INFO!$C$19)</f>
        <v xml:space="preserve">- Periodo: 22/7/2025  a 23/8/2025 </v>
      </c>
      <c r="C1903" s="121"/>
      <c r="D1903" s="121"/>
      <c r="E1903" s="121"/>
      <c r="F1903" s="121"/>
      <c r="G1903" s="121"/>
      <c r="H1903" s="121"/>
      <c r="I1903" s="121"/>
      <c r="J1903" s="121"/>
      <c r="K1903" s="121"/>
      <c r="L1903" s="121"/>
      <c r="M1903" s="121"/>
      <c r="N1903" s="121"/>
      <c r="O1903" s="121"/>
      <c r="P1903" s="121"/>
      <c r="Q1903" s="121"/>
      <c r="R1903" s="121"/>
      <c r="S1903" s="121"/>
      <c r="T1903" s="121"/>
      <c r="U1903" s="121"/>
      <c r="V1903" s="121"/>
      <c r="W1903" s="121"/>
      <c r="X1903" s="121"/>
      <c r="Y1903" s="121"/>
      <c r="Z1903" s="121"/>
      <c r="AA1903" s="121"/>
      <c r="AB1903" s="121"/>
    </row>
    <row r="1904" spans="2:28" ht="13.5" customHeight="1">
      <c r="B1904" s="98" t="str">
        <f>CONCATENATE("- Nr Dias: ",INFO!$C$20)</f>
        <v>- Nr Dias: 33</v>
      </c>
      <c r="C1904" s="121"/>
      <c r="D1904" s="121"/>
      <c r="E1904" s="121"/>
      <c r="F1904" s="121"/>
      <c r="G1904" s="121"/>
      <c r="H1904" s="121"/>
      <c r="I1904" s="121"/>
      <c r="J1904" s="121"/>
      <c r="K1904" s="121"/>
      <c r="L1904" s="121"/>
      <c r="M1904" s="121"/>
      <c r="N1904" s="121"/>
      <c r="O1904" s="121"/>
      <c r="P1904" s="121"/>
      <c r="Q1904" s="121"/>
      <c r="R1904" s="121"/>
      <c r="S1904" s="121"/>
      <c r="T1904" s="121"/>
      <c r="U1904" s="121"/>
      <c r="V1904" s="121"/>
      <c r="W1904" s="121"/>
      <c r="X1904" s="121"/>
      <c r="Y1904" s="121"/>
      <c r="Z1904" s="121"/>
      <c r="AA1904" s="121"/>
      <c r="AB1904" s="121"/>
    </row>
    <row r="1905" spans="2:28" ht="13.5" customHeight="1">
      <c r="B1905" s="98" t="str">
        <f>CONCATENATE("- Valor Estimado: R$ ",INDEX(QSGR!$J$16:$J$11170,AC1898))</f>
        <v xml:space="preserve">- Valor Estimado: R$ </v>
      </c>
      <c r="C1905" s="121"/>
      <c r="D1905" s="121"/>
      <c r="E1905" s="121"/>
      <c r="F1905" s="121"/>
      <c r="G1905" s="121"/>
      <c r="H1905" s="121"/>
      <c r="I1905" s="121"/>
      <c r="J1905" s="121"/>
      <c r="K1905" s="121"/>
      <c r="L1905" s="121"/>
      <c r="M1905" s="121"/>
      <c r="N1905" s="121"/>
      <c r="O1905" s="121"/>
      <c r="P1905" s="121"/>
      <c r="Q1905" s="121"/>
      <c r="R1905" s="121"/>
      <c r="S1905" s="121"/>
      <c r="T1905" s="121"/>
      <c r="U1905" s="121"/>
      <c r="V1905" s="121"/>
      <c r="W1905" s="121"/>
      <c r="X1905" s="121"/>
      <c r="Y1905" s="121"/>
      <c r="Z1905" s="121"/>
      <c r="AA1905" s="121"/>
      <c r="AB1905" s="121"/>
    </row>
    <row r="1906" spans="2:28" ht="13.5" customHeight="1">
      <c r="B1906" s="100"/>
      <c r="C1906" s="121"/>
      <c r="D1906" s="121"/>
      <c r="E1906" s="121"/>
      <c r="F1906" s="121"/>
      <c r="G1906" s="121"/>
      <c r="H1906" s="121"/>
      <c r="I1906" s="121"/>
      <c r="J1906" s="121"/>
      <c r="K1906" s="121"/>
      <c r="L1906" s="121"/>
      <c r="M1906" s="121"/>
      <c r="N1906" s="121"/>
      <c r="O1906" s="121"/>
      <c r="P1906" s="121"/>
      <c r="Q1906" s="121"/>
      <c r="R1906" s="121"/>
      <c r="S1906" s="121"/>
      <c r="T1906" s="121"/>
      <c r="U1906" s="121"/>
      <c r="V1906" s="121"/>
      <c r="W1906" s="121"/>
      <c r="X1906" s="121"/>
      <c r="Y1906" s="121"/>
      <c r="Z1906" s="121"/>
      <c r="AA1906" s="121"/>
      <c r="AB1906" s="121"/>
    </row>
    <row r="1907" spans="2:28" ht="13.5" customHeight="1">
      <c r="B1907" s="98" t="s">
        <v>55</v>
      </c>
      <c r="C1907" s="121"/>
      <c r="D1907" s="121"/>
      <c r="E1907" s="121"/>
      <c r="F1907" s="121"/>
      <c r="G1907" s="121"/>
      <c r="H1907" s="121"/>
      <c r="I1907" s="121"/>
      <c r="J1907" s="121"/>
      <c r="K1907" s="121"/>
      <c r="L1907" s="121"/>
      <c r="M1907" s="121"/>
      <c r="N1907" s="121"/>
      <c r="O1907" s="121"/>
      <c r="P1907" s="121"/>
      <c r="Q1907" s="121"/>
      <c r="R1907" s="121"/>
      <c r="S1907" s="121"/>
      <c r="T1907" s="121"/>
      <c r="U1907" s="121"/>
      <c r="V1907" s="121"/>
      <c r="W1907" s="121"/>
      <c r="X1907" s="121"/>
      <c r="Y1907" s="121"/>
      <c r="Z1907" s="121"/>
      <c r="AA1907" s="121"/>
      <c r="AB1907" s="121"/>
    </row>
    <row r="1908" spans="2:28" ht="13.5" customHeight="1">
      <c r="B1908" s="99" t="e">
        <f>INDEX(QSGR!$B$16:$B$1570,AC1907)</f>
        <v>#VALUE!</v>
      </c>
      <c r="C1908" s="121"/>
      <c r="D1908" s="121"/>
      <c r="E1908" s="97">
        <f>INDEX(QSGR!$D$16:$D$11170,AC1907)</f>
        <v>0</v>
      </c>
      <c r="F1908" s="121"/>
      <c r="G1908" s="121"/>
      <c r="H1908" s="121"/>
      <c r="I1908" s="121"/>
      <c r="J1908" s="121"/>
      <c r="K1908" s="121"/>
      <c r="L1908" s="121"/>
      <c r="M1908" s="121"/>
      <c r="N1908" s="121"/>
      <c r="O1908" s="121"/>
      <c r="P1908" s="121"/>
      <c r="Q1908" s="121"/>
      <c r="R1908" s="121"/>
      <c r="S1908" s="121"/>
      <c r="T1908" s="121"/>
      <c r="U1908" s="121"/>
      <c r="V1908" s="121"/>
      <c r="W1908" s="121"/>
      <c r="X1908" s="121"/>
      <c r="Y1908" s="121"/>
      <c r="Z1908" s="121"/>
      <c r="AA1908" s="121"/>
      <c r="AB1908" s="121"/>
    </row>
    <row r="1909" spans="2:28" ht="13.5" customHeight="1">
      <c r="B1909" s="96" t="str">
        <f>CONCATENATE("- Evento: ",INFO!$B$22)</f>
        <v>- Evento: PARTICIPAR DA OPERAÇÃO HORUS.</v>
      </c>
      <c r="C1909" s="121"/>
      <c r="D1909" s="121"/>
      <c r="E1909" s="121"/>
      <c r="F1909" s="121"/>
      <c r="G1909" s="121"/>
      <c r="H1909" s="121"/>
      <c r="I1909" s="121"/>
      <c r="J1909" s="121"/>
      <c r="K1909" s="121"/>
      <c r="L1909" s="121"/>
      <c r="M1909" s="121"/>
      <c r="N1909" s="121"/>
      <c r="O1909" s="121"/>
      <c r="P1909" s="121"/>
      <c r="Q1909" s="121"/>
      <c r="R1909" s="121"/>
      <c r="S1909" s="121"/>
      <c r="T1909" s="121"/>
      <c r="U1909" s="121"/>
      <c r="V1909" s="121"/>
      <c r="W1909" s="121"/>
      <c r="X1909" s="121"/>
      <c r="Y1909" s="121"/>
      <c r="Z1909" s="121"/>
      <c r="AA1909" s="121"/>
      <c r="AB1909" s="121"/>
    </row>
    <row r="1910" spans="2:28" ht="13.5" customHeight="1">
      <c r="B1910" s="98" t="str">
        <f>CONCATENATE("- Documento de Solicitação: ",INFO!$B$24)</f>
        <v>- Documento de Solicitação: TESTE AZUL</v>
      </c>
      <c r="C1910" s="121"/>
      <c r="D1910" s="121"/>
      <c r="E1910" s="121"/>
      <c r="F1910" s="121"/>
      <c r="G1910" s="121"/>
      <c r="H1910" s="121"/>
      <c r="I1910" s="121"/>
      <c r="J1910" s="121"/>
      <c r="K1910" s="121"/>
      <c r="L1910" s="121"/>
      <c r="M1910" s="121"/>
      <c r="N1910" s="121"/>
      <c r="O1910" s="121"/>
      <c r="P1910" s="121"/>
      <c r="Q1910" s="121"/>
      <c r="R1910" s="121"/>
      <c r="S1910" s="121"/>
      <c r="T1910" s="121"/>
      <c r="U1910" s="121"/>
      <c r="V1910" s="121"/>
      <c r="W1910" s="121"/>
      <c r="X1910" s="121"/>
      <c r="Y1910" s="121"/>
      <c r="Z1910" s="121"/>
      <c r="AA1910" s="121"/>
      <c r="AB1910" s="121"/>
    </row>
    <row r="1911" spans="2:28" ht="13.5" customHeight="1">
      <c r="B1911" s="98" t="str">
        <f>CONCATENATE("- Local: ",INFO!$C$18)</f>
        <v>- Local: GUAIRA - PR</v>
      </c>
      <c r="C1911" s="121"/>
      <c r="D1911" s="121"/>
      <c r="E1911" s="121"/>
      <c r="F1911" s="121"/>
      <c r="G1911" s="121"/>
      <c r="H1911" s="121"/>
      <c r="I1911" s="121"/>
      <c r="J1911" s="121"/>
      <c r="K1911" s="121"/>
      <c r="L1911" s="121"/>
      <c r="M1911" s="121"/>
      <c r="N1911" s="121"/>
      <c r="O1911" s="121"/>
      <c r="P1911" s="121"/>
      <c r="Q1911" s="121"/>
      <c r="R1911" s="121"/>
      <c r="S1911" s="121"/>
      <c r="T1911" s="121"/>
      <c r="U1911" s="121"/>
      <c r="V1911" s="121"/>
      <c r="W1911" s="121"/>
      <c r="X1911" s="121"/>
      <c r="Y1911" s="121"/>
      <c r="Z1911" s="121"/>
      <c r="AA1911" s="121"/>
      <c r="AB1911" s="121"/>
    </row>
    <row r="1912" spans="2:28" ht="13.5" customHeight="1">
      <c r="B1912" s="98" t="str">
        <f>CONCATENATE("- Periodo: ",INFO!$C$10," a ",INFO!$C$19)</f>
        <v xml:space="preserve">- Periodo: 22/7/2025  a 23/8/2025 </v>
      </c>
      <c r="C1912" s="121"/>
      <c r="D1912" s="121"/>
      <c r="E1912" s="121"/>
      <c r="F1912" s="121"/>
      <c r="G1912" s="121"/>
      <c r="H1912" s="121"/>
      <c r="I1912" s="121"/>
      <c r="J1912" s="121"/>
      <c r="K1912" s="121"/>
      <c r="L1912" s="121"/>
      <c r="M1912" s="121"/>
      <c r="N1912" s="121"/>
      <c r="O1912" s="121"/>
      <c r="P1912" s="121"/>
      <c r="Q1912" s="121"/>
      <c r="R1912" s="121"/>
      <c r="S1912" s="121"/>
      <c r="T1912" s="121"/>
      <c r="U1912" s="121"/>
      <c r="V1912" s="121"/>
      <c r="W1912" s="121"/>
      <c r="X1912" s="121"/>
      <c r="Y1912" s="121"/>
      <c r="Z1912" s="121"/>
      <c r="AA1912" s="121"/>
      <c r="AB1912" s="121"/>
    </row>
    <row r="1913" spans="2:28" ht="13.5" customHeight="1">
      <c r="B1913" s="98" t="str">
        <f>CONCATENATE("- Nr Dias: ",INFO!$C$20)</f>
        <v>- Nr Dias: 33</v>
      </c>
      <c r="C1913" s="121"/>
      <c r="D1913" s="121"/>
      <c r="E1913" s="121"/>
      <c r="F1913" s="121"/>
      <c r="G1913" s="121"/>
      <c r="H1913" s="121"/>
      <c r="I1913" s="121"/>
      <c r="J1913" s="121"/>
      <c r="K1913" s="121"/>
      <c r="L1913" s="121"/>
      <c r="M1913" s="121"/>
      <c r="N1913" s="121"/>
      <c r="O1913" s="121"/>
      <c r="P1913" s="121"/>
      <c r="Q1913" s="121"/>
      <c r="R1913" s="121"/>
      <c r="S1913" s="121"/>
      <c r="T1913" s="121"/>
      <c r="U1913" s="121"/>
      <c r="V1913" s="121"/>
      <c r="W1913" s="121"/>
      <c r="X1913" s="121"/>
      <c r="Y1913" s="121"/>
      <c r="Z1913" s="121"/>
      <c r="AA1913" s="121"/>
      <c r="AB1913" s="121"/>
    </row>
    <row r="1914" spans="2:28" ht="13.5" customHeight="1">
      <c r="B1914" s="98" t="str">
        <f>CONCATENATE("- Valor Estimado: R$ ",INDEX(QSGR!$J$16:$J$11170,AC1907))</f>
        <v xml:space="preserve">- Valor Estimado: R$ </v>
      </c>
      <c r="C1914" s="121"/>
      <c r="D1914" s="121"/>
      <c r="E1914" s="121"/>
      <c r="F1914" s="121"/>
      <c r="G1914" s="121"/>
      <c r="H1914" s="121"/>
      <c r="I1914" s="121"/>
      <c r="J1914" s="121"/>
      <c r="K1914" s="121"/>
      <c r="L1914" s="121"/>
      <c r="M1914" s="121"/>
      <c r="N1914" s="121"/>
      <c r="O1914" s="121"/>
      <c r="P1914" s="121"/>
      <c r="Q1914" s="121"/>
      <c r="R1914" s="121"/>
      <c r="S1914" s="121"/>
      <c r="T1914" s="121"/>
      <c r="U1914" s="121"/>
      <c r="V1914" s="121"/>
      <c r="W1914" s="121"/>
      <c r="X1914" s="121"/>
      <c r="Y1914" s="121"/>
      <c r="Z1914" s="121"/>
      <c r="AA1914" s="121"/>
      <c r="AB1914" s="121"/>
    </row>
    <row r="1915" spans="2:28" ht="13.5" customHeight="1">
      <c r="B1915" s="100"/>
      <c r="C1915" s="121"/>
      <c r="D1915" s="121"/>
      <c r="E1915" s="121"/>
      <c r="F1915" s="121"/>
      <c r="G1915" s="121"/>
      <c r="H1915" s="121"/>
      <c r="I1915" s="121"/>
      <c r="J1915" s="121"/>
      <c r="K1915" s="121"/>
      <c r="L1915" s="121"/>
      <c r="M1915" s="121"/>
      <c r="N1915" s="121"/>
      <c r="O1915" s="121"/>
      <c r="P1915" s="121"/>
      <c r="Q1915" s="121"/>
      <c r="R1915" s="121"/>
      <c r="S1915" s="121"/>
      <c r="T1915" s="121"/>
      <c r="U1915" s="121"/>
      <c r="V1915" s="121"/>
      <c r="W1915" s="121"/>
      <c r="X1915" s="121"/>
      <c r="Y1915" s="121"/>
      <c r="Z1915" s="121"/>
      <c r="AA1915" s="121"/>
      <c r="AB1915" s="121"/>
    </row>
    <row r="1916" spans="2:28" ht="13.5" customHeight="1">
      <c r="B1916" s="98" t="s">
        <v>55</v>
      </c>
      <c r="C1916" s="121"/>
      <c r="D1916" s="121"/>
      <c r="E1916" s="121"/>
      <c r="F1916" s="121"/>
      <c r="G1916" s="121"/>
      <c r="H1916" s="121"/>
      <c r="I1916" s="121"/>
      <c r="J1916" s="121"/>
      <c r="K1916" s="121"/>
      <c r="L1916" s="121"/>
      <c r="M1916" s="121"/>
      <c r="N1916" s="121"/>
      <c r="O1916" s="121"/>
      <c r="P1916" s="121"/>
      <c r="Q1916" s="121"/>
      <c r="R1916" s="121"/>
      <c r="S1916" s="121"/>
      <c r="T1916" s="121"/>
      <c r="U1916" s="121"/>
      <c r="V1916" s="121"/>
      <c r="W1916" s="121"/>
      <c r="X1916" s="121"/>
      <c r="Y1916" s="121"/>
      <c r="Z1916" s="121"/>
      <c r="AA1916" s="121"/>
      <c r="AB1916" s="121"/>
    </row>
    <row r="1917" spans="2:28" ht="13.5" customHeight="1">
      <c r="B1917" s="99" t="e">
        <f>INDEX(QSGR!$B$16:$B$1570,AC1916)</f>
        <v>#VALUE!</v>
      </c>
      <c r="C1917" s="121"/>
      <c r="D1917" s="121"/>
      <c r="E1917" s="97">
        <f>INDEX(QSGR!$D$16:$D$11170,AC1916)</f>
        <v>0</v>
      </c>
      <c r="F1917" s="121"/>
      <c r="G1917" s="121"/>
      <c r="H1917" s="121"/>
      <c r="I1917" s="121"/>
      <c r="J1917" s="121"/>
      <c r="K1917" s="121"/>
      <c r="L1917" s="121"/>
      <c r="M1917" s="121"/>
      <c r="N1917" s="121"/>
      <c r="O1917" s="121"/>
      <c r="P1917" s="121"/>
      <c r="Q1917" s="121"/>
      <c r="R1917" s="121"/>
      <c r="S1917" s="121"/>
      <c r="T1917" s="121"/>
      <c r="U1917" s="121"/>
      <c r="V1917" s="121"/>
      <c r="W1917" s="121"/>
      <c r="X1917" s="121"/>
      <c r="Y1917" s="121"/>
      <c r="Z1917" s="121"/>
      <c r="AA1917" s="121"/>
      <c r="AB1917" s="121"/>
    </row>
    <row r="1918" spans="2:28" ht="13.5" customHeight="1">
      <c r="B1918" s="96" t="str">
        <f>CONCATENATE("- Evento: ",INFO!$B$22)</f>
        <v>- Evento: PARTICIPAR DA OPERAÇÃO HORUS.</v>
      </c>
      <c r="C1918" s="121"/>
      <c r="D1918" s="121"/>
      <c r="E1918" s="121"/>
      <c r="F1918" s="121"/>
      <c r="G1918" s="121"/>
      <c r="H1918" s="121"/>
      <c r="I1918" s="121"/>
      <c r="J1918" s="121"/>
      <c r="K1918" s="121"/>
      <c r="L1918" s="121"/>
      <c r="M1918" s="121"/>
      <c r="N1918" s="121"/>
      <c r="O1918" s="121"/>
      <c r="P1918" s="121"/>
      <c r="Q1918" s="121"/>
      <c r="R1918" s="121"/>
      <c r="S1918" s="121"/>
      <c r="T1918" s="121"/>
      <c r="U1918" s="121"/>
      <c r="V1918" s="121"/>
      <c r="W1918" s="121"/>
      <c r="X1918" s="121"/>
      <c r="Y1918" s="121"/>
      <c r="Z1918" s="121"/>
      <c r="AA1918" s="121"/>
      <c r="AB1918" s="121"/>
    </row>
    <row r="1919" spans="2:28" ht="13.5" customHeight="1">
      <c r="B1919" s="98" t="str">
        <f>CONCATENATE("- Documento de Solicitação: ",INFO!$B$24)</f>
        <v>- Documento de Solicitação: TESTE AZUL</v>
      </c>
      <c r="C1919" s="121"/>
      <c r="D1919" s="121"/>
      <c r="E1919" s="121"/>
      <c r="F1919" s="121"/>
      <c r="G1919" s="121"/>
      <c r="H1919" s="121"/>
      <c r="I1919" s="121"/>
      <c r="J1919" s="121"/>
      <c r="K1919" s="121"/>
      <c r="L1919" s="121"/>
      <c r="M1919" s="121"/>
      <c r="N1919" s="121"/>
      <c r="O1919" s="121"/>
      <c r="P1919" s="121"/>
      <c r="Q1919" s="121"/>
      <c r="R1919" s="121"/>
      <c r="S1919" s="121"/>
      <c r="T1919" s="121"/>
      <c r="U1919" s="121"/>
      <c r="V1919" s="121"/>
      <c r="W1919" s="121"/>
      <c r="X1919" s="121"/>
      <c r="Y1919" s="121"/>
      <c r="Z1919" s="121"/>
      <c r="AA1919" s="121"/>
      <c r="AB1919" s="121"/>
    </row>
    <row r="1920" spans="2:28" ht="13.5" customHeight="1">
      <c r="B1920" s="98" t="str">
        <f>CONCATENATE("- Local: ",INFO!$C$18)</f>
        <v>- Local: GUAIRA - PR</v>
      </c>
      <c r="C1920" s="121"/>
      <c r="D1920" s="121"/>
      <c r="E1920" s="121"/>
      <c r="F1920" s="121"/>
      <c r="G1920" s="121"/>
      <c r="H1920" s="121"/>
      <c r="I1920" s="121"/>
      <c r="J1920" s="121"/>
      <c r="K1920" s="121"/>
      <c r="L1920" s="121"/>
      <c r="M1920" s="121"/>
      <c r="N1920" s="121"/>
      <c r="O1920" s="121"/>
      <c r="P1920" s="121"/>
      <c r="Q1920" s="121"/>
      <c r="R1920" s="121"/>
      <c r="S1920" s="121"/>
      <c r="T1920" s="121"/>
      <c r="U1920" s="121"/>
      <c r="V1920" s="121"/>
      <c r="W1920" s="121"/>
      <c r="X1920" s="121"/>
      <c r="Y1920" s="121"/>
      <c r="Z1920" s="121"/>
      <c r="AA1920" s="121"/>
      <c r="AB1920" s="121"/>
    </row>
    <row r="1921" spans="2:28" ht="13.5" customHeight="1">
      <c r="B1921" s="98" t="str">
        <f>CONCATENATE("- Periodo: ",INFO!$C$10," a ",INFO!$C$19)</f>
        <v xml:space="preserve">- Periodo: 22/7/2025  a 23/8/2025 </v>
      </c>
      <c r="C1921" s="121"/>
      <c r="D1921" s="121"/>
      <c r="E1921" s="121"/>
      <c r="F1921" s="121"/>
      <c r="G1921" s="121"/>
      <c r="H1921" s="121"/>
      <c r="I1921" s="121"/>
      <c r="J1921" s="121"/>
      <c r="K1921" s="121"/>
      <c r="L1921" s="121"/>
      <c r="M1921" s="121"/>
      <c r="N1921" s="121"/>
      <c r="O1921" s="121"/>
      <c r="P1921" s="121"/>
      <c r="Q1921" s="121"/>
      <c r="R1921" s="121"/>
      <c r="S1921" s="121"/>
      <c r="T1921" s="121"/>
      <c r="U1921" s="121"/>
      <c r="V1921" s="121"/>
      <c r="W1921" s="121"/>
      <c r="X1921" s="121"/>
      <c r="Y1921" s="121"/>
      <c r="Z1921" s="121"/>
      <c r="AA1921" s="121"/>
      <c r="AB1921" s="121"/>
    </row>
    <row r="1922" spans="2:28" ht="13.5" customHeight="1">
      <c r="B1922" s="98" t="str">
        <f>CONCATENATE("- Nr Dias: ",INFO!$C$20)</f>
        <v>- Nr Dias: 33</v>
      </c>
      <c r="C1922" s="121"/>
      <c r="D1922" s="121"/>
      <c r="E1922" s="121"/>
      <c r="F1922" s="121"/>
      <c r="G1922" s="121"/>
      <c r="H1922" s="121"/>
      <c r="I1922" s="121"/>
      <c r="J1922" s="121"/>
      <c r="K1922" s="121"/>
      <c r="L1922" s="121"/>
      <c r="M1922" s="121"/>
      <c r="N1922" s="121"/>
      <c r="O1922" s="121"/>
      <c r="P1922" s="121"/>
      <c r="Q1922" s="121"/>
      <c r="R1922" s="121"/>
      <c r="S1922" s="121"/>
      <c r="T1922" s="121"/>
      <c r="U1922" s="121"/>
      <c r="V1922" s="121"/>
      <c r="W1922" s="121"/>
      <c r="X1922" s="121"/>
      <c r="Y1922" s="121"/>
      <c r="Z1922" s="121"/>
      <c r="AA1922" s="121"/>
      <c r="AB1922" s="121"/>
    </row>
    <row r="1923" spans="2:28" ht="13.5" customHeight="1">
      <c r="B1923" s="98" t="str">
        <f>CONCATENATE("- Valor Estimado: R$ ",INDEX(QSGR!$J$16:$J$11170,AC1916))</f>
        <v xml:space="preserve">- Valor Estimado: R$ </v>
      </c>
      <c r="C1923" s="121"/>
      <c r="D1923" s="121"/>
      <c r="E1923" s="121"/>
      <c r="F1923" s="121"/>
      <c r="G1923" s="121"/>
      <c r="H1923" s="121"/>
      <c r="I1923" s="121"/>
      <c r="J1923" s="121"/>
      <c r="K1923" s="121"/>
      <c r="L1923" s="121"/>
      <c r="M1923" s="121"/>
      <c r="N1923" s="121"/>
      <c r="O1923" s="121"/>
      <c r="P1923" s="121"/>
      <c r="Q1923" s="121"/>
      <c r="R1923" s="121"/>
      <c r="S1923" s="121"/>
      <c r="T1923" s="121"/>
      <c r="U1923" s="121"/>
      <c r="V1923" s="121"/>
      <c r="W1923" s="121"/>
      <c r="X1923" s="121"/>
      <c r="Y1923" s="121"/>
      <c r="Z1923" s="121"/>
      <c r="AA1923" s="121"/>
      <c r="AB1923" s="121"/>
    </row>
    <row r="1924" spans="2:28" ht="13.5" customHeight="1">
      <c r="B1924" s="100"/>
      <c r="C1924" s="121"/>
      <c r="D1924" s="121"/>
      <c r="E1924" s="121"/>
      <c r="F1924" s="121"/>
      <c r="G1924" s="121"/>
      <c r="H1924" s="121"/>
      <c r="I1924" s="121"/>
      <c r="J1924" s="121"/>
      <c r="K1924" s="121"/>
      <c r="L1924" s="121"/>
      <c r="M1924" s="121"/>
      <c r="N1924" s="121"/>
      <c r="O1924" s="121"/>
      <c r="P1924" s="121"/>
      <c r="Q1924" s="121"/>
      <c r="R1924" s="121"/>
      <c r="S1924" s="121"/>
      <c r="T1924" s="121"/>
      <c r="U1924" s="121"/>
      <c r="V1924" s="121"/>
      <c r="W1924" s="121"/>
      <c r="X1924" s="121"/>
      <c r="Y1924" s="121"/>
      <c r="Z1924" s="121"/>
      <c r="AA1924" s="121"/>
      <c r="AB1924" s="121"/>
    </row>
    <row r="1925" spans="2:28" ht="13.5" customHeight="1">
      <c r="B1925" s="98" t="s">
        <v>55</v>
      </c>
      <c r="C1925" s="121"/>
      <c r="D1925" s="121"/>
      <c r="E1925" s="121"/>
      <c r="F1925" s="121"/>
      <c r="G1925" s="121"/>
      <c r="H1925" s="121"/>
      <c r="I1925" s="121"/>
      <c r="J1925" s="121"/>
      <c r="K1925" s="121"/>
      <c r="L1925" s="121"/>
      <c r="M1925" s="121"/>
      <c r="N1925" s="121"/>
      <c r="O1925" s="121"/>
      <c r="P1925" s="121"/>
      <c r="Q1925" s="121"/>
      <c r="R1925" s="121"/>
      <c r="S1925" s="121"/>
      <c r="T1925" s="121"/>
      <c r="U1925" s="121"/>
      <c r="V1925" s="121"/>
      <c r="W1925" s="121"/>
      <c r="X1925" s="121"/>
      <c r="Y1925" s="121"/>
      <c r="Z1925" s="121"/>
      <c r="AA1925" s="121"/>
      <c r="AB1925" s="121"/>
    </row>
    <row r="1926" spans="2:28" ht="13.5" customHeight="1">
      <c r="B1926" s="99" t="e">
        <f>INDEX(QSGR!$B$16:$B$1570,AC1925)</f>
        <v>#VALUE!</v>
      </c>
      <c r="C1926" s="121"/>
      <c r="D1926" s="121"/>
      <c r="E1926" s="97">
        <f>INDEX(QSGR!$D$16:$D$11170,AC1925)</f>
        <v>0</v>
      </c>
      <c r="F1926" s="121"/>
      <c r="G1926" s="121"/>
      <c r="H1926" s="121"/>
      <c r="I1926" s="121"/>
      <c r="J1926" s="121"/>
      <c r="K1926" s="121"/>
      <c r="L1926" s="121"/>
      <c r="M1926" s="121"/>
      <c r="N1926" s="121"/>
      <c r="O1926" s="121"/>
      <c r="P1926" s="121"/>
      <c r="Q1926" s="121"/>
      <c r="R1926" s="121"/>
      <c r="S1926" s="121"/>
      <c r="T1926" s="121"/>
      <c r="U1926" s="121"/>
      <c r="V1926" s="121"/>
      <c r="W1926" s="121"/>
      <c r="X1926" s="121"/>
      <c r="Y1926" s="121"/>
      <c r="Z1926" s="121"/>
      <c r="AA1926" s="121"/>
      <c r="AB1926" s="121"/>
    </row>
    <row r="1927" spans="2:28" ht="13.5" customHeight="1">
      <c r="B1927" s="96" t="str">
        <f>CONCATENATE("- Evento: ",INFO!$B$22)</f>
        <v>- Evento: PARTICIPAR DA OPERAÇÃO HORUS.</v>
      </c>
      <c r="C1927" s="121"/>
      <c r="D1927" s="121"/>
      <c r="E1927" s="121"/>
      <c r="F1927" s="121"/>
      <c r="G1927" s="121"/>
      <c r="H1927" s="121"/>
      <c r="I1927" s="121"/>
      <c r="J1927" s="121"/>
      <c r="K1927" s="121"/>
      <c r="L1927" s="121"/>
      <c r="M1927" s="121"/>
      <c r="N1927" s="121"/>
      <c r="O1927" s="121"/>
      <c r="P1927" s="121"/>
      <c r="Q1927" s="121"/>
      <c r="R1927" s="121"/>
      <c r="S1927" s="121"/>
      <c r="T1927" s="121"/>
      <c r="U1927" s="121"/>
      <c r="V1927" s="121"/>
      <c r="W1927" s="121"/>
      <c r="X1927" s="121"/>
      <c r="Y1927" s="121"/>
      <c r="Z1927" s="121"/>
      <c r="AA1927" s="121"/>
      <c r="AB1927" s="121"/>
    </row>
    <row r="1928" spans="2:28" ht="13.5" customHeight="1">
      <c r="B1928" s="98" t="str">
        <f>CONCATENATE("- Documento de Solicitação: ",INFO!$B$24)</f>
        <v>- Documento de Solicitação: TESTE AZUL</v>
      </c>
      <c r="C1928" s="121"/>
      <c r="D1928" s="121"/>
      <c r="E1928" s="121"/>
      <c r="F1928" s="121"/>
      <c r="G1928" s="121"/>
      <c r="H1928" s="121"/>
      <c r="I1928" s="121"/>
      <c r="J1928" s="121"/>
      <c r="K1928" s="121"/>
      <c r="L1928" s="121"/>
      <c r="M1928" s="121"/>
      <c r="N1928" s="121"/>
      <c r="O1928" s="121"/>
      <c r="P1928" s="121"/>
      <c r="Q1928" s="121"/>
      <c r="R1928" s="121"/>
      <c r="S1928" s="121"/>
      <c r="T1928" s="121"/>
      <c r="U1928" s="121"/>
      <c r="V1928" s="121"/>
      <c r="W1928" s="121"/>
      <c r="X1928" s="121"/>
      <c r="Y1928" s="121"/>
      <c r="Z1928" s="121"/>
      <c r="AA1928" s="121"/>
      <c r="AB1928" s="121"/>
    </row>
    <row r="1929" spans="2:28" ht="13.5" customHeight="1">
      <c r="B1929" s="98" t="str">
        <f>CONCATENATE("- Local: ",INFO!$C$18)</f>
        <v>- Local: GUAIRA - PR</v>
      </c>
      <c r="C1929" s="121"/>
      <c r="D1929" s="121"/>
      <c r="E1929" s="121"/>
      <c r="F1929" s="121"/>
      <c r="G1929" s="121"/>
      <c r="H1929" s="121"/>
      <c r="I1929" s="121"/>
      <c r="J1929" s="121"/>
      <c r="K1929" s="121"/>
      <c r="L1929" s="121"/>
      <c r="M1929" s="121"/>
      <c r="N1929" s="121"/>
      <c r="O1929" s="121"/>
      <c r="P1929" s="121"/>
      <c r="Q1929" s="121"/>
      <c r="R1929" s="121"/>
      <c r="S1929" s="121"/>
      <c r="T1929" s="121"/>
      <c r="U1929" s="121"/>
      <c r="V1929" s="121"/>
      <c r="W1929" s="121"/>
      <c r="X1929" s="121"/>
      <c r="Y1929" s="121"/>
      <c r="Z1929" s="121"/>
      <c r="AA1929" s="121"/>
      <c r="AB1929" s="121"/>
    </row>
    <row r="1930" spans="2:28" ht="13.5" customHeight="1">
      <c r="B1930" s="98" t="str">
        <f>CONCATENATE("- Periodo: ",INFO!$C$10," a ",INFO!$C$19)</f>
        <v xml:space="preserve">- Periodo: 22/7/2025  a 23/8/2025 </v>
      </c>
      <c r="C1930" s="121"/>
      <c r="D1930" s="121"/>
      <c r="E1930" s="121"/>
      <c r="F1930" s="121"/>
      <c r="G1930" s="121"/>
      <c r="H1930" s="121"/>
      <c r="I1930" s="121"/>
      <c r="J1930" s="121"/>
      <c r="K1930" s="121"/>
      <c r="L1930" s="121"/>
      <c r="M1930" s="121"/>
      <c r="N1930" s="121"/>
      <c r="O1930" s="121"/>
      <c r="P1930" s="121"/>
      <c r="Q1930" s="121"/>
      <c r="R1930" s="121"/>
      <c r="S1930" s="121"/>
      <c r="T1930" s="121"/>
      <c r="U1930" s="121"/>
      <c r="V1930" s="121"/>
      <c r="W1930" s="121"/>
      <c r="X1930" s="121"/>
      <c r="Y1930" s="121"/>
      <c r="Z1930" s="121"/>
      <c r="AA1930" s="121"/>
      <c r="AB1930" s="121"/>
    </row>
    <row r="1931" spans="2:28" ht="13.5" customHeight="1">
      <c r="B1931" s="98" t="str">
        <f>CONCATENATE("- Nr Dias: ",INFO!$C$20)</f>
        <v>- Nr Dias: 33</v>
      </c>
      <c r="C1931" s="121"/>
      <c r="D1931" s="121"/>
      <c r="E1931" s="121"/>
      <c r="F1931" s="121"/>
      <c r="G1931" s="121"/>
      <c r="H1931" s="121"/>
      <c r="I1931" s="121"/>
      <c r="J1931" s="121"/>
      <c r="K1931" s="121"/>
      <c r="L1931" s="121"/>
      <c r="M1931" s="121"/>
      <c r="N1931" s="121"/>
      <c r="O1931" s="121"/>
      <c r="P1931" s="121"/>
      <c r="Q1931" s="121"/>
      <c r="R1931" s="121"/>
      <c r="S1931" s="121"/>
      <c r="T1931" s="121"/>
      <c r="U1931" s="121"/>
      <c r="V1931" s="121"/>
      <c r="W1931" s="121"/>
      <c r="X1931" s="121"/>
      <c r="Y1931" s="121"/>
      <c r="Z1931" s="121"/>
      <c r="AA1931" s="121"/>
      <c r="AB1931" s="121"/>
    </row>
    <row r="1932" spans="2:28" ht="13.5" customHeight="1">
      <c r="B1932" s="98" t="str">
        <f>CONCATENATE("- Valor Estimado: R$ ",INDEX(QSGR!$J$16:$J$11170,AC1925))</f>
        <v xml:space="preserve">- Valor Estimado: R$ </v>
      </c>
      <c r="C1932" s="121"/>
      <c r="D1932" s="121"/>
      <c r="E1932" s="121"/>
      <c r="F1932" s="121"/>
      <c r="G1932" s="121"/>
      <c r="H1932" s="121"/>
      <c r="I1932" s="121"/>
      <c r="J1932" s="121"/>
      <c r="K1932" s="121"/>
      <c r="L1932" s="121"/>
      <c r="M1932" s="121"/>
      <c r="N1932" s="121"/>
      <c r="O1932" s="121"/>
      <c r="P1932" s="121"/>
      <c r="Q1932" s="121"/>
      <c r="R1932" s="121"/>
      <c r="S1932" s="121"/>
      <c r="T1932" s="121"/>
      <c r="U1932" s="121"/>
      <c r="V1932" s="121"/>
      <c r="W1932" s="121"/>
      <c r="X1932" s="121"/>
      <c r="Y1932" s="121"/>
      <c r="Z1932" s="121"/>
      <c r="AA1932" s="121"/>
      <c r="AB1932" s="121"/>
    </row>
    <row r="1933" spans="2:28" ht="13.5" customHeight="1">
      <c r="B1933" s="100"/>
      <c r="C1933" s="121"/>
      <c r="D1933" s="121"/>
      <c r="E1933" s="121"/>
      <c r="F1933" s="121"/>
      <c r="G1933" s="121"/>
      <c r="H1933" s="121"/>
      <c r="I1933" s="121"/>
      <c r="J1933" s="121"/>
      <c r="K1933" s="121"/>
      <c r="L1933" s="121"/>
      <c r="M1933" s="121"/>
      <c r="N1933" s="121"/>
      <c r="O1933" s="121"/>
      <c r="P1933" s="121"/>
      <c r="Q1933" s="121"/>
      <c r="R1933" s="121"/>
      <c r="S1933" s="121"/>
      <c r="T1933" s="121"/>
      <c r="U1933" s="121"/>
      <c r="V1933" s="121"/>
      <c r="W1933" s="121"/>
      <c r="X1933" s="121"/>
      <c r="Y1933" s="121"/>
      <c r="Z1933" s="121"/>
      <c r="AA1933" s="121"/>
      <c r="AB1933" s="121"/>
    </row>
    <row r="1934" spans="2:28" ht="13.5" customHeight="1">
      <c r="B1934" s="98" t="s">
        <v>55</v>
      </c>
      <c r="C1934" s="121"/>
      <c r="D1934" s="121"/>
      <c r="E1934" s="121"/>
      <c r="F1934" s="121"/>
      <c r="G1934" s="121"/>
      <c r="H1934" s="121"/>
      <c r="I1934" s="121"/>
      <c r="J1934" s="121"/>
      <c r="K1934" s="121"/>
      <c r="L1934" s="121"/>
      <c r="M1934" s="121"/>
      <c r="N1934" s="121"/>
      <c r="O1934" s="121"/>
      <c r="P1934" s="121"/>
      <c r="Q1934" s="121"/>
      <c r="R1934" s="121"/>
      <c r="S1934" s="121"/>
      <c r="T1934" s="121"/>
      <c r="U1934" s="121"/>
      <c r="V1934" s="121"/>
      <c r="W1934" s="121"/>
      <c r="X1934" s="121"/>
      <c r="Y1934" s="121"/>
      <c r="Z1934" s="121"/>
      <c r="AA1934" s="121"/>
      <c r="AB1934" s="121"/>
    </row>
    <row r="1935" spans="2:28" ht="13.5" customHeight="1">
      <c r="B1935" s="99" t="e">
        <f>INDEX(QSGR!$B$16:$B$1570,AC1934)</f>
        <v>#VALUE!</v>
      </c>
      <c r="C1935" s="121"/>
      <c r="D1935" s="121"/>
      <c r="E1935" s="97">
        <f>INDEX(QSGR!$D$16:$D$11170,AC1934)</f>
        <v>0</v>
      </c>
      <c r="F1935" s="121"/>
      <c r="G1935" s="121"/>
      <c r="H1935" s="121"/>
      <c r="I1935" s="121"/>
      <c r="J1935" s="121"/>
      <c r="K1935" s="121"/>
      <c r="L1935" s="121"/>
      <c r="M1935" s="121"/>
      <c r="N1935" s="121"/>
      <c r="O1935" s="121"/>
      <c r="P1935" s="121"/>
      <c r="Q1935" s="121"/>
      <c r="R1935" s="121"/>
      <c r="S1935" s="121"/>
      <c r="T1935" s="121"/>
      <c r="U1935" s="121"/>
      <c r="V1935" s="121"/>
      <c r="W1935" s="121"/>
      <c r="X1935" s="121"/>
      <c r="Y1935" s="121"/>
      <c r="Z1935" s="121"/>
      <c r="AA1935" s="121"/>
      <c r="AB1935" s="121"/>
    </row>
    <row r="1936" spans="2:28" ht="13.5" customHeight="1">
      <c r="B1936" s="96" t="str">
        <f>CONCATENATE("- Evento: ",INFO!$B$22)</f>
        <v>- Evento: PARTICIPAR DA OPERAÇÃO HORUS.</v>
      </c>
      <c r="C1936" s="121"/>
      <c r="D1936" s="121"/>
      <c r="E1936" s="121"/>
      <c r="F1936" s="121"/>
      <c r="G1936" s="121"/>
      <c r="H1936" s="121"/>
      <c r="I1936" s="121"/>
      <c r="J1936" s="121"/>
      <c r="K1936" s="121"/>
      <c r="L1936" s="121"/>
      <c r="M1936" s="121"/>
      <c r="N1936" s="121"/>
      <c r="O1936" s="121"/>
      <c r="P1936" s="121"/>
      <c r="Q1936" s="121"/>
      <c r="R1936" s="121"/>
      <c r="S1936" s="121"/>
      <c r="T1936" s="121"/>
      <c r="U1936" s="121"/>
      <c r="V1936" s="121"/>
      <c r="W1936" s="121"/>
      <c r="X1936" s="121"/>
      <c r="Y1936" s="121"/>
      <c r="Z1936" s="121"/>
      <c r="AA1936" s="121"/>
      <c r="AB1936" s="121"/>
    </row>
    <row r="1937" spans="2:28" ht="13.5" customHeight="1">
      <c r="B1937" s="98" t="str">
        <f>CONCATENATE("- Documento de Solicitação: ",INFO!$B$24)</f>
        <v>- Documento de Solicitação: TESTE AZUL</v>
      </c>
      <c r="C1937" s="121"/>
      <c r="D1937" s="121"/>
      <c r="E1937" s="121"/>
      <c r="F1937" s="121"/>
      <c r="G1937" s="121"/>
      <c r="H1937" s="121"/>
      <c r="I1937" s="121"/>
      <c r="J1937" s="121"/>
      <c r="K1937" s="121"/>
      <c r="L1937" s="121"/>
      <c r="M1937" s="121"/>
      <c r="N1937" s="121"/>
      <c r="O1937" s="121"/>
      <c r="P1937" s="121"/>
      <c r="Q1937" s="121"/>
      <c r="R1937" s="121"/>
      <c r="S1937" s="121"/>
      <c r="T1937" s="121"/>
      <c r="U1937" s="121"/>
      <c r="V1937" s="121"/>
      <c r="W1937" s="121"/>
      <c r="X1937" s="121"/>
      <c r="Y1937" s="121"/>
      <c r="Z1937" s="121"/>
      <c r="AA1937" s="121"/>
      <c r="AB1937" s="121"/>
    </row>
    <row r="1938" spans="2:28" ht="13.5" customHeight="1">
      <c r="B1938" s="98" t="str">
        <f>CONCATENATE("- Local: ",INFO!$C$18)</f>
        <v>- Local: GUAIRA - PR</v>
      </c>
      <c r="C1938" s="121"/>
      <c r="D1938" s="121"/>
      <c r="E1938" s="121"/>
      <c r="F1938" s="121"/>
      <c r="G1938" s="121"/>
      <c r="H1938" s="121"/>
      <c r="I1938" s="121"/>
      <c r="J1938" s="121"/>
      <c r="K1938" s="121"/>
      <c r="L1938" s="121"/>
      <c r="M1938" s="121"/>
      <c r="N1938" s="121"/>
      <c r="O1938" s="121"/>
      <c r="P1938" s="121"/>
      <c r="Q1938" s="121"/>
      <c r="R1938" s="121"/>
      <c r="S1938" s="121"/>
      <c r="T1938" s="121"/>
      <c r="U1938" s="121"/>
      <c r="V1938" s="121"/>
      <c r="W1938" s="121"/>
      <c r="X1938" s="121"/>
      <c r="Y1938" s="121"/>
      <c r="Z1938" s="121"/>
      <c r="AA1938" s="121"/>
      <c r="AB1938" s="121"/>
    </row>
    <row r="1939" spans="2:28" ht="13.5" customHeight="1">
      <c r="B1939" s="98" t="str">
        <f>CONCATENATE("- Periodo: ",INFO!$C$10," a ",INFO!$C$19)</f>
        <v xml:space="preserve">- Periodo: 22/7/2025  a 23/8/2025 </v>
      </c>
      <c r="C1939" s="121"/>
      <c r="D1939" s="121"/>
      <c r="E1939" s="121"/>
      <c r="F1939" s="121"/>
      <c r="G1939" s="121"/>
      <c r="H1939" s="121"/>
      <c r="I1939" s="121"/>
      <c r="J1939" s="121"/>
      <c r="K1939" s="121"/>
      <c r="L1939" s="121"/>
      <c r="M1939" s="121"/>
      <c r="N1939" s="121"/>
      <c r="O1939" s="121"/>
      <c r="P1939" s="121"/>
      <c r="Q1939" s="121"/>
      <c r="R1939" s="121"/>
      <c r="S1939" s="121"/>
      <c r="T1939" s="121"/>
      <c r="U1939" s="121"/>
      <c r="V1939" s="121"/>
      <c r="W1939" s="121"/>
      <c r="X1939" s="121"/>
      <c r="Y1939" s="121"/>
      <c r="Z1939" s="121"/>
      <c r="AA1939" s="121"/>
      <c r="AB1939" s="121"/>
    </row>
    <row r="1940" spans="2:28" ht="13.5" customHeight="1">
      <c r="B1940" s="98" t="str">
        <f>CONCATENATE("- Nr Dias: ",INFO!$C$20)</f>
        <v>- Nr Dias: 33</v>
      </c>
      <c r="C1940" s="121"/>
      <c r="D1940" s="121"/>
      <c r="E1940" s="121"/>
      <c r="F1940" s="121"/>
      <c r="G1940" s="121"/>
      <c r="H1940" s="121"/>
      <c r="I1940" s="121"/>
      <c r="J1940" s="121"/>
      <c r="K1940" s="121"/>
      <c r="L1940" s="121"/>
      <c r="M1940" s="121"/>
      <c r="N1940" s="121"/>
      <c r="O1940" s="121"/>
      <c r="P1940" s="121"/>
      <c r="Q1940" s="121"/>
      <c r="R1940" s="121"/>
      <c r="S1940" s="121"/>
      <c r="T1940" s="121"/>
      <c r="U1940" s="121"/>
      <c r="V1940" s="121"/>
      <c r="W1940" s="121"/>
      <c r="X1940" s="121"/>
      <c r="Y1940" s="121"/>
      <c r="Z1940" s="121"/>
      <c r="AA1940" s="121"/>
      <c r="AB1940" s="121"/>
    </row>
    <row r="1941" spans="2:28" ht="13.5" customHeight="1">
      <c r="B1941" s="98" t="str">
        <f>CONCATENATE("- Valor Estimado: R$ ",INDEX(QSGR!$J$16:$J$11170,AC1934))</f>
        <v xml:space="preserve">- Valor Estimado: R$ </v>
      </c>
      <c r="C1941" s="121"/>
      <c r="D1941" s="121"/>
      <c r="E1941" s="121"/>
      <c r="F1941" s="121"/>
      <c r="G1941" s="121"/>
      <c r="H1941" s="121"/>
      <c r="I1941" s="121"/>
      <c r="J1941" s="121"/>
      <c r="K1941" s="121"/>
      <c r="L1941" s="121"/>
      <c r="M1941" s="121"/>
      <c r="N1941" s="121"/>
      <c r="O1941" s="121"/>
      <c r="P1941" s="121"/>
      <c r="Q1941" s="121"/>
      <c r="R1941" s="121"/>
      <c r="S1941" s="121"/>
      <c r="T1941" s="121"/>
      <c r="U1941" s="121"/>
      <c r="V1941" s="121"/>
      <c r="W1941" s="121"/>
      <c r="X1941" s="121"/>
      <c r="Y1941" s="121"/>
      <c r="Z1941" s="121"/>
      <c r="AA1941" s="121"/>
      <c r="AB1941" s="121"/>
    </row>
    <row r="1942" spans="2:28" ht="13.5" customHeight="1">
      <c r="B1942" s="100"/>
      <c r="C1942" s="121"/>
      <c r="D1942" s="121"/>
      <c r="E1942" s="121"/>
      <c r="F1942" s="121"/>
      <c r="G1942" s="121"/>
      <c r="H1942" s="121"/>
      <c r="I1942" s="121"/>
      <c r="J1942" s="121"/>
      <c r="K1942" s="121"/>
      <c r="L1942" s="121"/>
      <c r="M1942" s="121"/>
      <c r="N1942" s="121"/>
      <c r="O1942" s="121"/>
      <c r="P1942" s="121"/>
      <c r="Q1942" s="121"/>
      <c r="R1942" s="121"/>
      <c r="S1942" s="121"/>
      <c r="T1942" s="121"/>
      <c r="U1942" s="121"/>
      <c r="V1942" s="121"/>
      <c r="W1942" s="121"/>
      <c r="X1942" s="121"/>
      <c r="Y1942" s="121"/>
      <c r="Z1942" s="121"/>
      <c r="AA1942" s="121"/>
      <c r="AB1942" s="121"/>
    </row>
    <row r="1943" spans="2:28" ht="13.5" customHeight="1">
      <c r="B1943" s="98" t="s">
        <v>55</v>
      </c>
      <c r="C1943" s="121"/>
      <c r="D1943" s="121"/>
      <c r="E1943" s="121"/>
      <c r="F1943" s="121"/>
      <c r="G1943" s="121"/>
      <c r="H1943" s="121"/>
      <c r="I1943" s="121"/>
      <c r="J1943" s="121"/>
      <c r="K1943" s="121"/>
      <c r="L1943" s="121"/>
      <c r="M1943" s="121"/>
      <c r="N1943" s="121"/>
      <c r="O1943" s="121"/>
      <c r="P1943" s="121"/>
      <c r="Q1943" s="121"/>
      <c r="R1943" s="121"/>
      <c r="S1943" s="121"/>
      <c r="T1943" s="121"/>
      <c r="U1943" s="121"/>
      <c r="V1943" s="121"/>
      <c r="W1943" s="121"/>
      <c r="X1943" s="121"/>
      <c r="Y1943" s="121"/>
      <c r="Z1943" s="121"/>
      <c r="AA1943" s="121"/>
      <c r="AB1943" s="121"/>
    </row>
    <row r="1944" spans="2:28" ht="13.5" customHeight="1">
      <c r="B1944" s="99" t="e">
        <f>INDEX(QSGR!$B$16:$B$1570,AC1943)</f>
        <v>#VALUE!</v>
      </c>
      <c r="C1944" s="121"/>
      <c r="D1944" s="121"/>
      <c r="E1944" s="97">
        <f>INDEX(QSGR!$D$16:$D$11170,AC1943)</f>
        <v>0</v>
      </c>
      <c r="F1944" s="121"/>
      <c r="G1944" s="121"/>
      <c r="H1944" s="121"/>
      <c r="I1944" s="121"/>
      <c r="J1944" s="121"/>
      <c r="K1944" s="121"/>
      <c r="L1944" s="121"/>
      <c r="M1944" s="121"/>
      <c r="N1944" s="121"/>
      <c r="O1944" s="121"/>
      <c r="P1944" s="121"/>
      <c r="Q1944" s="121"/>
      <c r="R1944" s="121"/>
      <c r="S1944" s="121"/>
      <c r="T1944" s="121"/>
      <c r="U1944" s="121"/>
      <c r="V1944" s="121"/>
      <c r="W1944" s="121"/>
      <c r="X1944" s="121"/>
      <c r="Y1944" s="121"/>
      <c r="Z1944" s="121"/>
      <c r="AA1944" s="121"/>
      <c r="AB1944" s="121"/>
    </row>
    <row r="1945" spans="2:28" ht="13.5" customHeight="1">
      <c r="B1945" s="96" t="str">
        <f>CONCATENATE("- Evento: ",INFO!$B$22)</f>
        <v>- Evento: PARTICIPAR DA OPERAÇÃO HORUS.</v>
      </c>
      <c r="C1945" s="121"/>
      <c r="D1945" s="121"/>
      <c r="E1945" s="121"/>
      <c r="F1945" s="121"/>
      <c r="G1945" s="121"/>
      <c r="H1945" s="121"/>
      <c r="I1945" s="121"/>
      <c r="J1945" s="121"/>
      <c r="K1945" s="121"/>
      <c r="L1945" s="121"/>
      <c r="M1945" s="121"/>
      <c r="N1945" s="121"/>
      <c r="O1945" s="121"/>
      <c r="P1945" s="121"/>
      <c r="Q1945" s="121"/>
      <c r="R1945" s="121"/>
      <c r="S1945" s="121"/>
      <c r="T1945" s="121"/>
      <c r="U1945" s="121"/>
      <c r="V1945" s="121"/>
      <c r="W1945" s="121"/>
      <c r="X1945" s="121"/>
      <c r="Y1945" s="121"/>
      <c r="Z1945" s="121"/>
      <c r="AA1945" s="121"/>
      <c r="AB1945" s="121"/>
    </row>
    <row r="1946" spans="2:28" ht="13.5" customHeight="1">
      <c r="B1946" s="98" t="str">
        <f>CONCATENATE("- Documento de Solicitação: ",INFO!$B$24)</f>
        <v>- Documento de Solicitação: TESTE AZUL</v>
      </c>
      <c r="C1946" s="121"/>
      <c r="D1946" s="121"/>
      <c r="E1946" s="121"/>
      <c r="F1946" s="121"/>
      <c r="G1946" s="121"/>
      <c r="H1946" s="121"/>
      <c r="I1946" s="121"/>
      <c r="J1946" s="121"/>
      <c r="K1946" s="121"/>
      <c r="L1946" s="121"/>
      <c r="M1946" s="121"/>
      <c r="N1946" s="121"/>
      <c r="O1946" s="121"/>
      <c r="P1946" s="121"/>
      <c r="Q1946" s="121"/>
      <c r="R1946" s="121"/>
      <c r="S1946" s="121"/>
      <c r="T1946" s="121"/>
      <c r="U1946" s="121"/>
      <c r="V1946" s="121"/>
      <c r="W1946" s="121"/>
      <c r="X1946" s="121"/>
      <c r="Y1946" s="121"/>
      <c r="Z1946" s="121"/>
      <c r="AA1946" s="121"/>
      <c r="AB1946" s="121"/>
    </row>
    <row r="1947" spans="2:28" ht="13.5" customHeight="1">
      <c r="B1947" s="98" t="str">
        <f>CONCATENATE("- Local: ",INFO!$C$18)</f>
        <v>- Local: GUAIRA - PR</v>
      </c>
      <c r="C1947" s="121"/>
      <c r="D1947" s="121"/>
      <c r="E1947" s="121"/>
      <c r="F1947" s="121"/>
      <c r="G1947" s="121"/>
      <c r="H1947" s="121"/>
      <c r="I1947" s="121"/>
      <c r="J1947" s="121"/>
      <c r="K1947" s="121"/>
      <c r="L1947" s="121"/>
      <c r="M1947" s="121"/>
      <c r="N1947" s="121"/>
      <c r="O1947" s="121"/>
      <c r="P1947" s="121"/>
      <c r="Q1947" s="121"/>
      <c r="R1947" s="121"/>
      <c r="S1947" s="121"/>
      <c r="T1947" s="121"/>
      <c r="U1947" s="121"/>
      <c r="V1947" s="121"/>
      <c r="W1947" s="121"/>
      <c r="X1947" s="121"/>
      <c r="Y1947" s="121"/>
      <c r="Z1947" s="121"/>
      <c r="AA1947" s="121"/>
      <c r="AB1947" s="121"/>
    </row>
    <row r="1948" spans="2:28" ht="13.5" customHeight="1">
      <c r="B1948" s="98" t="str">
        <f>CONCATENATE("- Periodo: ",INFO!$C$10," a ",INFO!$C$19)</f>
        <v xml:space="preserve">- Periodo: 22/7/2025  a 23/8/2025 </v>
      </c>
      <c r="C1948" s="121"/>
      <c r="D1948" s="121"/>
      <c r="E1948" s="121"/>
      <c r="F1948" s="121"/>
      <c r="G1948" s="121"/>
      <c r="H1948" s="121"/>
      <c r="I1948" s="121"/>
      <c r="J1948" s="121"/>
      <c r="K1948" s="121"/>
      <c r="L1948" s="121"/>
      <c r="M1948" s="121"/>
      <c r="N1948" s="121"/>
      <c r="O1948" s="121"/>
      <c r="P1948" s="121"/>
      <c r="Q1948" s="121"/>
      <c r="R1948" s="121"/>
      <c r="S1948" s="121"/>
      <c r="T1948" s="121"/>
      <c r="U1948" s="121"/>
      <c r="V1948" s="121"/>
      <c r="W1948" s="121"/>
      <c r="X1948" s="121"/>
      <c r="Y1948" s="121"/>
      <c r="Z1948" s="121"/>
      <c r="AA1948" s="121"/>
      <c r="AB1948" s="121"/>
    </row>
    <row r="1949" spans="2:28" ht="13.5" customHeight="1">
      <c r="B1949" s="98" t="str">
        <f>CONCATENATE("- Nr Dias: ",INFO!$C$20)</f>
        <v>- Nr Dias: 33</v>
      </c>
      <c r="C1949" s="121"/>
      <c r="D1949" s="121"/>
      <c r="E1949" s="121"/>
      <c r="F1949" s="121"/>
      <c r="G1949" s="121"/>
      <c r="H1949" s="121"/>
      <c r="I1949" s="121"/>
      <c r="J1949" s="121"/>
      <c r="K1949" s="121"/>
      <c r="L1949" s="121"/>
      <c r="M1949" s="121"/>
      <c r="N1949" s="121"/>
      <c r="O1949" s="121"/>
      <c r="P1949" s="121"/>
      <c r="Q1949" s="121"/>
      <c r="R1949" s="121"/>
      <c r="S1949" s="121"/>
      <c r="T1949" s="121"/>
      <c r="U1949" s="121"/>
      <c r="V1949" s="121"/>
      <c r="W1949" s="121"/>
      <c r="X1949" s="121"/>
      <c r="Y1949" s="121"/>
      <c r="Z1949" s="121"/>
      <c r="AA1949" s="121"/>
      <c r="AB1949" s="121"/>
    </row>
    <row r="1950" spans="2:28" ht="13.5" customHeight="1">
      <c r="B1950" s="98" t="str">
        <f>CONCATENATE("- Valor Estimado: R$ ",INDEX(QSGR!$J$16:$J$11170,AC1943))</f>
        <v xml:space="preserve">- Valor Estimado: R$ </v>
      </c>
      <c r="C1950" s="121"/>
      <c r="D1950" s="121"/>
      <c r="E1950" s="121"/>
      <c r="F1950" s="121"/>
      <c r="G1950" s="121"/>
      <c r="H1950" s="121"/>
      <c r="I1950" s="121"/>
      <c r="J1950" s="121"/>
      <c r="K1950" s="121"/>
      <c r="L1950" s="121"/>
      <c r="M1950" s="121"/>
      <c r="N1950" s="121"/>
      <c r="O1950" s="121"/>
      <c r="P1950" s="121"/>
      <c r="Q1950" s="121"/>
      <c r="R1950" s="121"/>
      <c r="S1950" s="121"/>
      <c r="T1950" s="121"/>
      <c r="U1950" s="121"/>
      <c r="V1950" s="121"/>
      <c r="W1950" s="121"/>
      <c r="X1950" s="121"/>
      <c r="Y1950" s="121"/>
      <c r="Z1950" s="121"/>
      <c r="AA1950" s="121"/>
      <c r="AB1950" s="121"/>
    </row>
    <row r="1951" spans="2:28" ht="13.5" customHeight="1">
      <c r="B1951" s="100"/>
      <c r="C1951" s="121"/>
      <c r="D1951" s="121"/>
      <c r="E1951" s="121"/>
      <c r="F1951" s="121"/>
      <c r="G1951" s="121"/>
      <c r="H1951" s="121"/>
      <c r="I1951" s="121"/>
      <c r="J1951" s="121"/>
      <c r="K1951" s="121"/>
      <c r="L1951" s="121"/>
      <c r="M1951" s="121"/>
      <c r="N1951" s="121"/>
      <c r="O1951" s="121"/>
      <c r="P1951" s="121"/>
      <c r="Q1951" s="121"/>
      <c r="R1951" s="121"/>
      <c r="S1951" s="121"/>
      <c r="T1951" s="121"/>
      <c r="U1951" s="121"/>
      <c r="V1951" s="121"/>
      <c r="W1951" s="121"/>
      <c r="X1951" s="121"/>
      <c r="Y1951" s="121"/>
      <c r="Z1951" s="121"/>
      <c r="AA1951" s="121"/>
      <c r="AB1951" s="121"/>
    </row>
    <row r="1952" spans="2:28" ht="13.5" customHeight="1">
      <c r="B1952" s="98" t="s">
        <v>55</v>
      </c>
      <c r="C1952" s="121"/>
      <c r="D1952" s="121"/>
      <c r="E1952" s="121"/>
      <c r="F1952" s="121"/>
      <c r="G1952" s="121"/>
      <c r="H1952" s="121"/>
      <c r="I1952" s="121"/>
      <c r="J1952" s="121"/>
      <c r="K1952" s="121"/>
      <c r="L1952" s="121"/>
      <c r="M1952" s="121"/>
      <c r="N1952" s="121"/>
      <c r="O1952" s="121"/>
      <c r="P1952" s="121"/>
      <c r="Q1952" s="121"/>
      <c r="R1952" s="121"/>
      <c r="S1952" s="121"/>
      <c r="T1952" s="121"/>
      <c r="U1952" s="121"/>
      <c r="V1952" s="121"/>
      <c r="W1952" s="121"/>
      <c r="X1952" s="121"/>
      <c r="Y1952" s="121"/>
      <c r="Z1952" s="121"/>
      <c r="AA1952" s="121"/>
      <c r="AB1952" s="121"/>
    </row>
    <row r="1953" spans="2:28" ht="13.5" customHeight="1">
      <c r="B1953" s="99" t="e">
        <f>INDEX(QSGR!$B$16:$B$1570,AC1952)</f>
        <v>#VALUE!</v>
      </c>
      <c r="C1953" s="121"/>
      <c r="D1953" s="121"/>
      <c r="E1953" s="97">
        <f>INDEX(QSGR!$D$16:$D$11170,AC1952)</f>
        <v>0</v>
      </c>
      <c r="F1953" s="121"/>
      <c r="G1953" s="121"/>
      <c r="H1953" s="121"/>
      <c r="I1953" s="121"/>
      <c r="J1953" s="121"/>
      <c r="K1953" s="121"/>
      <c r="L1953" s="121"/>
      <c r="M1953" s="121"/>
      <c r="N1953" s="121"/>
      <c r="O1953" s="121"/>
      <c r="P1953" s="121"/>
      <c r="Q1953" s="121"/>
      <c r="R1953" s="121"/>
      <c r="S1953" s="121"/>
      <c r="T1953" s="121"/>
      <c r="U1953" s="121"/>
      <c r="V1953" s="121"/>
      <c r="W1953" s="121"/>
      <c r="X1953" s="121"/>
      <c r="Y1953" s="121"/>
      <c r="Z1953" s="121"/>
      <c r="AA1953" s="121"/>
      <c r="AB1953" s="121"/>
    </row>
    <row r="1954" spans="2:28" ht="13.5" customHeight="1">
      <c r="B1954" s="96" t="str">
        <f>CONCATENATE("- Evento: ",INFO!$B$22)</f>
        <v>- Evento: PARTICIPAR DA OPERAÇÃO HORUS.</v>
      </c>
      <c r="C1954" s="121"/>
      <c r="D1954" s="121"/>
      <c r="E1954" s="121"/>
      <c r="F1954" s="121"/>
      <c r="G1954" s="121"/>
      <c r="H1954" s="121"/>
      <c r="I1954" s="121"/>
      <c r="J1954" s="121"/>
      <c r="K1954" s="121"/>
      <c r="L1954" s="121"/>
      <c r="M1954" s="121"/>
      <c r="N1954" s="121"/>
      <c r="O1954" s="121"/>
      <c r="P1954" s="121"/>
      <c r="Q1954" s="121"/>
      <c r="R1954" s="121"/>
      <c r="S1954" s="121"/>
      <c r="T1954" s="121"/>
      <c r="U1954" s="121"/>
      <c r="V1954" s="121"/>
      <c r="W1954" s="121"/>
      <c r="X1954" s="121"/>
      <c r="Y1954" s="121"/>
      <c r="Z1954" s="121"/>
      <c r="AA1954" s="121"/>
      <c r="AB1954" s="121"/>
    </row>
    <row r="1955" spans="2:28" ht="13.5" customHeight="1">
      <c r="B1955" s="98" t="str">
        <f>CONCATENATE("- Documento de Solicitação: ",INFO!$B$24)</f>
        <v>- Documento de Solicitação: TESTE AZUL</v>
      </c>
      <c r="C1955" s="121"/>
      <c r="D1955" s="121"/>
      <c r="E1955" s="121"/>
      <c r="F1955" s="121"/>
      <c r="G1955" s="121"/>
      <c r="H1955" s="121"/>
      <c r="I1955" s="121"/>
      <c r="J1955" s="121"/>
      <c r="K1955" s="121"/>
      <c r="L1955" s="121"/>
      <c r="M1955" s="121"/>
      <c r="N1955" s="121"/>
      <c r="O1955" s="121"/>
      <c r="P1955" s="121"/>
      <c r="Q1955" s="121"/>
      <c r="R1955" s="121"/>
      <c r="S1955" s="121"/>
      <c r="T1955" s="121"/>
      <c r="U1955" s="121"/>
      <c r="V1955" s="121"/>
      <c r="W1955" s="121"/>
      <c r="X1955" s="121"/>
      <c r="Y1955" s="121"/>
      <c r="Z1955" s="121"/>
      <c r="AA1955" s="121"/>
      <c r="AB1955" s="121"/>
    </row>
    <row r="1956" spans="2:28" ht="13.5" customHeight="1">
      <c r="B1956" s="98" t="str">
        <f>CONCATENATE("- Local: ",INFO!$C$18)</f>
        <v>- Local: GUAIRA - PR</v>
      </c>
      <c r="C1956" s="121"/>
      <c r="D1956" s="121"/>
      <c r="E1956" s="121"/>
      <c r="F1956" s="121"/>
      <c r="G1956" s="121"/>
      <c r="H1956" s="121"/>
      <c r="I1956" s="121"/>
      <c r="J1956" s="121"/>
      <c r="K1956" s="121"/>
      <c r="L1956" s="121"/>
      <c r="M1956" s="121"/>
      <c r="N1956" s="121"/>
      <c r="O1956" s="121"/>
      <c r="P1956" s="121"/>
      <c r="Q1956" s="121"/>
      <c r="R1956" s="121"/>
      <c r="S1956" s="121"/>
      <c r="T1956" s="121"/>
      <c r="U1956" s="121"/>
      <c r="V1956" s="121"/>
      <c r="W1956" s="121"/>
      <c r="X1956" s="121"/>
      <c r="Y1956" s="121"/>
      <c r="Z1956" s="121"/>
      <c r="AA1956" s="121"/>
      <c r="AB1956" s="121"/>
    </row>
    <row r="1957" spans="2:28" ht="13.5" customHeight="1">
      <c r="B1957" s="98" t="str">
        <f>CONCATENATE("- Periodo: ",INFO!$C$10," a ",INFO!$C$19)</f>
        <v xml:space="preserve">- Periodo: 22/7/2025  a 23/8/2025 </v>
      </c>
      <c r="C1957" s="121"/>
      <c r="D1957" s="121"/>
      <c r="E1957" s="121"/>
      <c r="F1957" s="121"/>
      <c r="G1957" s="121"/>
      <c r="H1957" s="121"/>
      <c r="I1957" s="121"/>
      <c r="J1957" s="121"/>
      <c r="K1957" s="121"/>
      <c r="L1957" s="121"/>
      <c r="M1957" s="121"/>
      <c r="N1957" s="121"/>
      <c r="O1957" s="121"/>
      <c r="P1957" s="121"/>
      <c r="Q1957" s="121"/>
      <c r="R1957" s="121"/>
      <c r="S1957" s="121"/>
      <c r="T1957" s="121"/>
      <c r="U1957" s="121"/>
      <c r="V1957" s="121"/>
      <c r="W1957" s="121"/>
      <c r="X1957" s="121"/>
      <c r="Y1957" s="121"/>
      <c r="Z1957" s="121"/>
      <c r="AA1957" s="121"/>
      <c r="AB1957" s="121"/>
    </row>
    <row r="1958" spans="2:28" ht="13.5" customHeight="1">
      <c r="B1958" s="98" t="str">
        <f>CONCATENATE("- Nr Dias: ",INFO!$C$20)</f>
        <v>- Nr Dias: 33</v>
      </c>
      <c r="C1958" s="121"/>
      <c r="D1958" s="121"/>
      <c r="E1958" s="121"/>
      <c r="F1958" s="121"/>
      <c r="G1958" s="121"/>
      <c r="H1958" s="121"/>
      <c r="I1958" s="121"/>
      <c r="J1958" s="121"/>
      <c r="K1958" s="121"/>
      <c r="L1958" s="121"/>
      <c r="M1958" s="121"/>
      <c r="N1958" s="121"/>
      <c r="O1958" s="121"/>
      <c r="P1958" s="121"/>
      <c r="Q1958" s="121"/>
      <c r="R1958" s="121"/>
      <c r="S1958" s="121"/>
      <c r="T1958" s="121"/>
      <c r="U1958" s="121"/>
      <c r="V1958" s="121"/>
      <c r="W1958" s="121"/>
      <c r="X1958" s="121"/>
      <c r="Y1958" s="121"/>
      <c r="Z1958" s="121"/>
      <c r="AA1958" s="121"/>
      <c r="AB1958" s="121"/>
    </row>
    <row r="1959" spans="2:28" ht="13.5" customHeight="1">
      <c r="B1959" s="98" t="str">
        <f>CONCATENATE("- Valor Estimado: R$ ",INDEX(QSGR!$J$16:$J$11170,AC1952))</f>
        <v xml:space="preserve">- Valor Estimado: R$ </v>
      </c>
      <c r="C1959" s="121"/>
      <c r="D1959" s="121"/>
      <c r="E1959" s="121"/>
      <c r="F1959" s="121"/>
      <c r="G1959" s="121"/>
      <c r="H1959" s="121"/>
      <c r="I1959" s="121"/>
      <c r="J1959" s="121"/>
      <c r="K1959" s="121"/>
      <c r="L1959" s="121"/>
      <c r="M1959" s="121"/>
      <c r="N1959" s="121"/>
      <c r="O1959" s="121"/>
      <c r="P1959" s="121"/>
      <c r="Q1959" s="121"/>
      <c r="R1959" s="121"/>
      <c r="S1959" s="121"/>
      <c r="T1959" s="121"/>
      <c r="U1959" s="121"/>
      <c r="V1959" s="121"/>
      <c r="W1959" s="121"/>
      <c r="X1959" s="121"/>
      <c r="Y1959" s="121"/>
      <c r="Z1959" s="121"/>
      <c r="AA1959" s="121"/>
      <c r="AB1959" s="121"/>
    </row>
    <row r="1960" spans="2:28" ht="13.5" customHeight="1">
      <c r="B1960" s="66"/>
      <c r="C1960" s="66"/>
      <c r="D1960" s="66"/>
      <c r="E1960" s="66"/>
      <c r="F1960" s="66"/>
      <c r="G1960" s="66"/>
      <c r="H1960" s="66"/>
      <c r="I1960" s="66"/>
      <c r="J1960" s="66"/>
      <c r="K1960" s="66"/>
      <c r="L1960" s="66"/>
      <c r="M1960" s="66"/>
      <c r="N1960" s="66"/>
      <c r="O1960" s="66"/>
      <c r="P1960" s="66"/>
      <c r="Q1960" s="66"/>
      <c r="R1960" s="66"/>
      <c r="S1960" s="66"/>
      <c r="T1960" s="66"/>
      <c r="U1960" s="66"/>
      <c r="V1960" s="66"/>
      <c r="W1960" s="66"/>
      <c r="X1960" s="66"/>
      <c r="Y1960" s="66"/>
      <c r="Z1960" s="66"/>
      <c r="AA1960" s="66"/>
      <c r="AB1960" s="66"/>
    </row>
    <row r="1048354" ht="12.75" customHeight="1"/>
    <row r="1048355" ht="12.75" customHeight="1"/>
    <row r="1048356" ht="12.75" customHeight="1"/>
    <row r="1048357" ht="12.75" customHeight="1"/>
    <row r="1048358" ht="12.75" customHeight="1"/>
    <row r="1048359" ht="12.75" customHeight="1"/>
    <row r="1048360" ht="12.75" customHeight="1"/>
    <row r="1048361" ht="12.75" customHeight="1"/>
    <row r="1048362" ht="12.75" customHeight="1"/>
    <row r="1048363" ht="12.75" customHeight="1"/>
    <row r="1048364" ht="12.75" customHeight="1"/>
    <row r="1048365" ht="12.75" customHeight="1"/>
    <row r="1048366" ht="12.75" customHeight="1"/>
    <row r="1048367" ht="12.75" customHeight="1"/>
    <row r="1048368" ht="12.75" customHeight="1"/>
    <row r="1048369" ht="12.75" customHeight="1"/>
    <row r="1048370" ht="12.75" customHeight="1"/>
    <row r="1048371" ht="12.75" customHeight="1"/>
    <row r="1048372" ht="12.75" customHeight="1"/>
    <row r="1048373" ht="12.75" customHeight="1"/>
    <row r="1048374" ht="12.75" customHeight="1"/>
    <row r="1048375" ht="12.75" customHeight="1"/>
    <row r="1048376" ht="12.75" customHeight="1"/>
    <row r="1048377" ht="12.75" customHeight="1"/>
    <row r="1048378" ht="12.75" customHeight="1"/>
    <row r="1048379" ht="12.75" customHeight="1"/>
    <row r="1048380" ht="12.75" customHeight="1"/>
    <row r="1048381" ht="12.75" customHeight="1"/>
    <row r="1048382" ht="12.75" customHeight="1"/>
    <row r="1048383" ht="12.75" customHeight="1"/>
    <row r="1048384" ht="12.75" customHeight="1"/>
    <row r="1048385" ht="12.75" customHeight="1"/>
    <row r="1048386" ht="12.75" customHeight="1"/>
    <row r="1048387" ht="12.75" customHeight="1"/>
    <row r="1048388" ht="12.75" customHeight="1"/>
    <row r="1048389" ht="12.75" customHeight="1"/>
    <row r="1048390" ht="12.75" customHeight="1"/>
    <row r="1048391" ht="12.75" customHeight="1"/>
    <row r="1048392" ht="12.75" customHeight="1"/>
    <row r="1048393" ht="12.75" customHeight="1"/>
    <row r="1048394" ht="12.75" customHeight="1"/>
    <row r="1048395" ht="12.75" customHeight="1"/>
    <row r="1048396" ht="12.75" customHeight="1"/>
    <row r="1048397" ht="12.75" customHeight="1"/>
    <row r="1048398" ht="12.75" customHeight="1"/>
    <row r="1048399" ht="12.75" customHeight="1"/>
    <row r="1048400" ht="12.75" customHeight="1"/>
    <row r="1048401" ht="12.75" customHeight="1"/>
    <row r="1048402" ht="12.75" customHeight="1"/>
    <row r="1048403" ht="12.75" customHeight="1"/>
    <row r="1048404" ht="12.75" customHeight="1"/>
    <row r="1048405" ht="12.75" customHeight="1"/>
    <row r="1048406" ht="12.75" customHeight="1"/>
    <row r="1048407" ht="12.75" customHeight="1"/>
    <row r="1048408" ht="12.75" customHeight="1"/>
    <row r="1048409" ht="12.75" customHeight="1"/>
    <row r="1048410" ht="12.75" customHeight="1"/>
    <row r="1048411" ht="12.75" customHeight="1"/>
    <row r="1048412" ht="12.75" customHeight="1"/>
    <row r="1048413" ht="12.75" customHeight="1"/>
    <row r="1048414" ht="12.75" customHeight="1"/>
    <row r="1048415" ht="12.75" customHeight="1"/>
    <row r="1048416" ht="12.75" customHeight="1"/>
    <row r="1048417" ht="12.75" customHeight="1"/>
    <row r="1048418" ht="12.75" customHeight="1"/>
    <row r="1048419" ht="12.75" customHeight="1"/>
    <row r="1048420" ht="12.75" customHeight="1"/>
    <row r="1048421" ht="12.75" customHeight="1"/>
    <row r="1048422" ht="12.75" customHeight="1"/>
    <row r="1048423" ht="12.75" customHeight="1"/>
    <row r="1048424" ht="12.75" customHeight="1"/>
    <row r="1048425" ht="12.75" customHeight="1"/>
    <row r="1048426" ht="12.75" customHeight="1"/>
    <row r="1048427" ht="12.75" customHeight="1"/>
    <row r="1048428" ht="12.75" customHeight="1"/>
    <row r="1048429" ht="12.75" customHeight="1"/>
    <row r="1048430" ht="12.75" customHeight="1"/>
    <row r="1048431" ht="12.75" customHeight="1"/>
    <row r="1048432" ht="12.75" customHeight="1"/>
    <row r="1048433" ht="12.75" customHeight="1"/>
    <row r="1048434" ht="12.75" customHeight="1"/>
    <row r="1048435" ht="12.75" customHeight="1"/>
    <row r="1048436" ht="12.75" customHeight="1"/>
    <row r="1048437" ht="12.75" customHeight="1"/>
    <row r="1048438" ht="12.75" customHeight="1"/>
    <row r="1048439" ht="12.75" customHeight="1"/>
    <row r="1048440" ht="12.75" customHeight="1"/>
    <row r="1048441" ht="12.75" customHeight="1"/>
    <row r="1048442" ht="12.75" customHeight="1"/>
    <row r="1048443" ht="12.75" customHeight="1"/>
    <row r="1048444" ht="12.75" customHeight="1"/>
    <row r="1048445" ht="12.75" customHeight="1"/>
    <row r="1048446" ht="12.75" customHeight="1"/>
    <row r="1048447" ht="12.75" customHeight="1"/>
    <row r="1048448" ht="12.75" customHeight="1"/>
    <row r="1048449" ht="12.75" customHeight="1"/>
    <row r="1048450" ht="12.75" customHeight="1"/>
    <row r="1048451" ht="12.75" customHeight="1"/>
    <row r="1048452" ht="12.75" customHeight="1"/>
    <row r="1048453" ht="12.75" customHeight="1"/>
    <row r="1048454" ht="12.75" customHeight="1"/>
    <row r="1048455" ht="12.75" customHeight="1"/>
    <row r="1048456" ht="12.75" customHeight="1"/>
    <row r="1048457" ht="12.75" customHeight="1"/>
    <row r="1048458" ht="12.75" customHeight="1"/>
    <row r="1048459" ht="12.75" customHeight="1"/>
    <row r="1048460" ht="12.75" customHeight="1"/>
    <row r="1048461" ht="12.75" customHeight="1"/>
    <row r="1048462" ht="12.75" customHeight="1"/>
    <row r="1048463" ht="12.75" customHeight="1"/>
    <row r="1048464" ht="12.75" customHeight="1"/>
    <row r="1048465" ht="12.75" customHeight="1"/>
    <row r="1048466" ht="12.75" customHeight="1"/>
    <row r="1048467" ht="12.75" customHeight="1"/>
    <row r="1048468" ht="12.75" customHeight="1"/>
    <row r="1048469" ht="12.75" customHeight="1"/>
    <row r="1048470" ht="12.75" customHeight="1"/>
    <row r="1048471" ht="12.75" customHeight="1"/>
    <row r="1048472" ht="12.75" customHeight="1"/>
    <row r="1048473" ht="12.75" customHeight="1"/>
    <row r="1048474" ht="12.75" customHeight="1"/>
    <row r="1048475" ht="12.75" customHeight="1"/>
    <row r="1048476" ht="12.75" customHeight="1"/>
    <row r="1048477" ht="12.75" customHeight="1"/>
    <row r="1048478" ht="12.75" customHeight="1"/>
    <row r="1048479" ht="12.75" customHeight="1"/>
    <row r="1048480" ht="12.75" customHeight="1"/>
    <row r="1048481" ht="12.75" customHeight="1"/>
    <row r="1048482" ht="12.75" customHeight="1"/>
    <row r="1048483" ht="12.75" customHeight="1"/>
    <row r="1048484" ht="12.75" customHeight="1"/>
    <row r="1048485" ht="12.75" customHeight="1"/>
    <row r="1048486" ht="12.75" customHeight="1"/>
    <row r="1048487" ht="12.75" customHeight="1"/>
    <row r="1048488" ht="12.75" customHeight="1"/>
    <row r="1048489" ht="12.75" customHeight="1"/>
    <row r="1048490" ht="12.75" customHeight="1"/>
    <row r="1048491" ht="12.75" customHeight="1"/>
    <row r="1048492" ht="12.75" customHeight="1"/>
    <row r="1048493" ht="12.75" customHeight="1"/>
    <row r="1048494" ht="12.75" customHeight="1"/>
    <row r="1048495" ht="12.75" customHeight="1"/>
    <row r="1048496" ht="12.7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2170">
    <mergeCell ref="B1915:AB1915"/>
    <mergeCell ref="B76:AB76"/>
    <mergeCell ref="B1129:AB1129"/>
    <mergeCell ref="B374:AB374"/>
    <mergeCell ref="B830:AB830"/>
    <mergeCell ref="E828:AB828"/>
    <mergeCell ref="B1274:AB1274"/>
    <mergeCell ref="B215:AB215"/>
    <mergeCell ref="B828:D828"/>
    <mergeCell ref="E1944:AB1944"/>
    <mergeCell ref="B1908:D1908"/>
    <mergeCell ref="B1388:AB1388"/>
    <mergeCell ref="B1944:D1944"/>
    <mergeCell ref="B447:AB447"/>
    <mergeCell ref="B142:AB142"/>
    <mergeCell ref="B1235:AB1235"/>
    <mergeCell ref="B1533:AB1533"/>
    <mergeCell ref="B816:AB816"/>
    <mergeCell ref="B449:AB449"/>
    <mergeCell ref="B1508:AB1508"/>
    <mergeCell ref="B1114:AB1114"/>
    <mergeCell ref="B1543:AB1543"/>
    <mergeCell ref="B1228:AB1228"/>
    <mergeCell ref="B442:AB442"/>
    <mergeCell ref="B1535:AB1535"/>
    <mergeCell ref="B1833:AB1833"/>
    <mergeCell ref="E1323:AB1323"/>
    <mergeCell ref="B1414:AB1414"/>
    <mergeCell ref="B1843:AB1843"/>
    <mergeCell ref="B1835:AB1835"/>
    <mergeCell ref="B1242:D1242"/>
    <mergeCell ref="B927:D927"/>
    <mergeCell ref="B346:AB346"/>
    <mergeCell ref="B1101:AB1101"/>
    <mergeCell ref="E1413:AB1413"/>
    <mergeCell ref="B1132:AB1132"/>
    <mergeCell ref="B371:AB371"/>
    <mergeCell ref="B1561:AB1561"/>
    <mergeCell ref="B1413:D1413"/>
    <mergeCell ref="B958:AB958"/>
    <mergeCell ref="B1256:AB1256"/>
    <mergeCell ref="B1916:AB1916"/>
    <mergeCell ref="B1161:D1161"/>
    <mergeCell ref="B129:AB129"/>
    <mergeCell ref="B1584:D1584"/>
    <mergeCell ref="B121:AB121"/>
    <mergeCell ref="B734:AB734"/>
    <mergeCell ref="B1489:AB1489"/>
    <mergeCell ref="B1918:AB1918"/>
    <mergeCell ref="B131:AB131"/>
    <mergeCell ref="B307:AB307"/>
    <mergeCell ref="B429:AB429"/>
    <mergeCell ref="B465:AB465"/>
    <mergeCell ref="B736:AB736"/>
    <mergeCell ref="E1188:AB1188"/>
    <mergeCell ref="B421:AB421"/>
    <mergeCell ref="B1034:AB1034"/>
    <mergeCell ref="B1086:AB1086"/>
    <mergeCell ref="B431:AB431"/>
    <mergeCell ref="B1822:AB1822"/>
    <mergeCell ref="B790:AB790"/>
    <mergeCell ref="B1088:AB1088"/>
    <mergeCell ref="B1517:AB1517"/>
    <mergeCell ref="B379:AB379"/>
    <mergeCell ref="B1432:AB1432"/>
    <mergeCell ref="B677:AB677"/>
    <mergeCell ref="B1554:AB1554"/>
    <mergeCell ref="B835:AB835"/>
    <mergeCell ref="B1861:AB1861"/>
    <mergeCell ref="B829:AB829"/>
    <mergeCell ref="B1127:AB1127"/>
    <mergeCell ref="B372:AB372"/>
    <mergeCell ref="E657:AB657"/>
    <mergeCell ref="B1888:AB1888"/>
    <mergeCell ref="B171:D171"/>
    <mergeCell ref="B1163:AB1163"/>
    <mergeCell ref="B408:AB408"/>
    <mergeCell ref="B1461:AB1461"/>
    <mergeCell ref="B706:AB706"/>
    <mergeCell ref="B1592:AB1592"/>
    <mergeCell ref="B1896:AB1896"/>
    <mergeCell ref="B103:AB103"/>
    <mergeCell ref="B1471:AB1471"/>
    <mergeCell ref="B410:AB410"/>
    <mergeCell ref="B1463:AB1463"/>
    <mergeCell ref="B708:AB708"/>
    <mergeCell ref="B1006:AB1006"/>
    <mergeCell ref="B1164:AB1164"/>
    <mergeCell ref="E1170:AB1170"/>
    <mergeCell ref="B1158:AB1158"/>
    <mergeCell ref="B403:AB403"/>
    <mergeCell ref="B1462:AB1462"/>
    <mergeCell ref="B1891:AB1891"/>
    <mergeCell ref="B1170:D1170"/>
    <mergeCell ref="B1166:AB1166"/>
    <mergeCell ref="B1618:AB1618"/>
    <mergeCell ref="B1258:AB1258"/>
    <mergeCell ref="B1562:AB1562"/>
    <mergeCell ref="B1556:AB1556"/>
    <mergeCell ref="B1877:AB1877"/>
    <mergeCell ref="B1537:AB1537"/>
    <mergeCell ref="B478:AB478"/>
    <mergeCell ref="B776:AB776"/>
    <mergeCell ref="E54:AB54"/>
    <mergeCell ref="B1450:AB1450"/>
    <mergeCell ref="B695:AB695"/>
    <mergeCell ref="B1425:AB1425"/>
    <mergeCell ref="B1110:AB1110"/>
    <mergeCell ref="B993:AB993"/>
    <mergeCell ref="B1748:AB1748"/>
    <mergeCell ref="B1837:AB1837"/>
    <mergeCell ref="B54:D54"/>
    <mergeCell ref="B50:AB50"/>
    <mergeCell ref="B479:AB479"/>
    <mergeCell ref="B777:AB777"/>
    <mergeCell ref="B1749:AB1749"/>
    <mergeCell ref="B690:AB690"/>
    <mergeCell ref="B783:D783"/>
    <mergeCell ref="B468:D468"/>
    <mergeCell ref="B387:D387"/>
    <mergeCell ref="B802:AB802"/>
    <mergeCell ref="B1440:D1440"/>
    <mergeCell ref="B1136:AB1136"/>
    <mergeCell ref="B1590:AB1590"/>
    <mergeCell ref="B73:AB73"/>
    <mergeCell ref="B74:AB74"/>
    <mergeCell ref="B68:AB68"/>
    <mergeCell ref="B31:AB31"/>
    <mergeCell ref="B1361:AB1361"/>
    <mergeCell ref="B1221:AB1221"/>
    <mergeCell ref="B1397:AB1397"/>
    <mergeCell ref="B1519:AB1519"/>
    <mergeCell ref="B1695:AB1695"/>
    <mergeCell ref="B1826:AB1826"/>
    <mergeCell ref="B39:AB39"/>
    <mergeCell ref="B1092:AB1092"/>
    <mergeCell ref="B1819:AB1819"/>
    <mergeCell ref="E1089:AB1089"/>
    <mergeCell ref="B1392:AB1392"/>
    <mergeCell ref="B178:AB178"/>
    <mergeCell ref="B476:AB476"/>
    <mergeCell ref="B1150:AB1150"/>
    <mergeCell ref="B1448:AB1448"/>
    <mergeCell ref="B1423:AB1423"/>
    <mergeCell ref="B364:AB364"/>
    <mergeCell ref="B486:D486"/>
    <mergeCell ref="B49:AB49"/>
    <mergeCell ref="B46:AB46"/>
    <mergeCell ref="B48:AB48"/>
    <mergeCell ref="B1806:AB1806"/>
    <mergeCell ref="B1379:AB1379"/>
    <mergeCell ref="E315:AB315"/>
    <mergeCell ref="B463:AB463"/>
    <mergeCell ref="B315:D315"/>
    <mergeCell ref="B1366:AB1366"/>
    <mergeCell ref="B334:AB334"/>
    <mergeCell ref="B1524:AB1524"/>
    <mergeCell ref="B763:AB763"/>
    <mergeCell ref="B1061:AB1061"/>
    <mergeCell ref="B1097:AB1097"/>
    <mergeCell ref="B1735:AB1735"/>
    <mergeCell ref="B336:AB336"/>
    <mergeCell ref="B634:AB634"/>
    <mergeCell ref="B1824:AB1824"/>
    <mergeCell ref="B1063:AB1063"/>
    <mergeCell ref="B1090:AB1090"/>
    <mergeCell ref="B1879:AB1879"/>
    <mergeCell ref="B1452:AB1452"/>
    <mergeCell ref="E90:AB90"/>
    <mergeCell ref="B697:AB697"/>
    <mergeCell ref="B1750:AB1750"/>
    <mergeCell ref="B691:AB691"/>
    <mergeCell ref="B989:AB989"/>
    <mergeCell ref="B392:AB392"/>
    <mergeCell ref="B568:AB568"/>
    <mergeCell ref="B1454:AB1454"/>
    <mergeCell ref="B699:AB699"/>
    <mergeCell ref="E1449:AB1449"/>
    <mergeCell ref="B997:AB997"/>
    <mergeCell ref="B1752:AB1752"/>
    <mergeCell ref="B1295:AB1295"/>
    <mergeCell ref="E846:AB846"/>
    <mergeCell ref="B394:AB394"/>
    <mergeCell ref="B692:AB692"/>
    <mergeCell ref="B1449:D1449"/>
    <mergeCell ref="B846:D846"/>
    <mergeCell ref="B265:AB265"/>
    <mergeCell ref="B1351:AB1351"/>
    <mergeCell ref="B1152:D1152"/>
    <mergeCell ref="B321:AB321"/>
    <mergeCell ref="B1780:AB1780"/>
    <mergeCell ref="B1165:AB1165"/>
    <mergeCell ref="B1048:AB1048"/>
    <mergeCell ref="B1382:AB1382"/>
    <mergeCell ref="B323:AB323"/>
    <mergeCell ref="B1167:AB1167"/>
    <mergeCell ref="B412:AB412"/>
    <mergeCell ref="E1800:AB1800"/>
    <mergeCell ref="B1739:AB1739"/>
    <mergeCell ref="B1424:AB1424"/>
    <mergeCell ref="B340:AB340"/>
    <mergeCell ref="E675:AB675"/>
    <mergeCell ref="B663:AB663"/>
    <mergeCell ref="B978:AB978"/>
    <mergeCell ref="B1276:AB1276"/>
    <mergeCell ref="B1434:AB1434"/>
    <mergeCell ref="B675:D675"/>
    <mergeCell ref="B671:AB671"/>
    <mergeCell ref="B1724:AB1724"/>
    <mergeCell ref="B969:AB969"/>
    <mergeCell ref="B366:AB366"/>
    <mergeCell ref="B979:AB979"/>
    <mergeCell ref="E1431:AB1431"/>
    <mergeCell ref="B210:AB210"/>
    <mergeCell ref="B552:AB552"/>
    <mergeCell ref="B1089:D1089"/>
    <mergeCell ref="B994:AB994"/>
    <mergeCell ref="B1431:D1431"/>
    <mergeCell ref="B1581:AB1581"/>
    <mergeCell ref="B243:D243"/>
    <mergeCell ref="B710:AB710"/>
    <mergeCell ref="B1348:AB1348"/>
    <mergeCell ref="B1384:AB1384"/>
    <mergeCell ref="B1682:AB1682"/>
    <mergeCell ref="B623:AB623"/>
    <mergeCell ref="B1676:AB1676"/>
    <mergeCell ref="B747:D747"/>
    <mergeCell ref="B921:AB921"/>
    <mergeCell ref="B1648:AB1648"/>
    <mergeCell ref="B1684:AB1684"/>
    <mergeCell ref="E1692:AB1692"/>
    <mergeCell ref="B327:AB327"/>
    <mergeCell ref="B1657:AB1657"/>
    <mergeCell ref="B720:D720"/>
    <mergeCell ref="B625:AB625"/>
    <mergeCell ref="B923:AB923"/>
    <mergeCell ref="B1692:D1692"/>
    <mergeCell ref="B1711:AB1711"/>
    <mergeCell ref="B1686:AB1686"/>
    <mergeCell ref="E324:AB324"/>
    <mergeCell ref="B950:AB950"/>
    <mergeCell ref="E774:AB774"/>
    <mergeCell ref="B1713:AB1713"/>
    <mergeCell ref="B1408:AB1408"/>
    <mergeCell ref="E1080:AB1080"/>
    <mergeCell ref="B38:AB38"/>
    <mergeCell ref="B1080:D1080"/>
    <mergeCell ref="B40:AB40"/>
    <mergeCell ref="B338:AB338"/>
    <mergeCell ref="E63:AB63"/>
    <mergeCell ref="B123:AB123"/>
    <mergeCell ref="B1313:AB1313"/>
    <mergeCell ref="B886:AB886"/>
    <mergeCell ref="B1939:AB1939"/>
    <mergeCell ref="B1184:AB1184"/>
    <mergeCell ref="B1613:AB1613"/>
    <mergeCell ref="B1642:AB1642"/>
    <mergeCell ref="B726:AB726"/>
    <mergeCell ref="E1791:AB1791"/>
    <mergeCell ref="B1060:AB1060"/>
    <mergeCell ref="B1331:AB1331"/>
    <mergeCell ref="B299:AB299"/>
    <mergeCell ref="B1667:AB1667"/>
    <mergeCell ref="B597:AB597"/>
    <mergeCell ref="E603:AB603"/>
    <mergeCell ref="B1787:AB1787"/>
    <mergeCell ref="B728:AB728"/>
    <mergeCell ref="B1781:AB1781"/>
    <mergeCell ref="B1324:AB1324"/>
    <mergeCell ref="B1360:AB1360"/>
    <mergeCell ref="B599:AB599"/>
    <mergeCell ref="B897:AB897"/>
    <mergeCell ref="B1789:AB1789"/>
    <mergeCell ref="B1028:AB1028"/>
    <mergeCell ref="B1055:AB1055"/>
    <mergeCell ref="B1326:AB1326"/>
    <mergeCell ref="E306:AB306"/>
    <mergeCell ref="B899:AB899"/>
    <mergeCell ref="B752:AB752"/>
    <mergeCell ref="B306:D306"/>
    <mergeCell ref="B325:AB325"/>
    <mergeCell ref="B1323:D1323"/>
    <mergeCell ref="B57:AB57"/>
    <mergeCell ref="B936:D936"/>
    <mergeCell ref="B1241:AB1241"/>
    <mergeCell ref="E1701:AB1701"/>
    <mergeCell ref="B515:AB515"/>
    <mergeCell ref="B959:AB959"/>
    <mergeCell ref="B204:AB204"/>
    <mergeCell ref="B1257:AB1257"/>
    <mergeCell ref="B1415:AB1415"/>
    <mergeCell ref="B356:AB356"/>
    <mergeCell ref="E351:AB351"/>
    <mergeCell ref="B654:AB654"/>
    <mergeCell ref="B952:AB952"/>
    <mergeCell ref="B1626:AB1626"/>
    <mergeCell ref="B233:AB233"/>
    <mergeCell ref="B1259:AB1259"/>
    <mergeCell ref="B1924:AB1924"/>
    <mergeCell ref="B227:AB227"/>
    <mergeCell ref="B1417:AB1417"/>
    <mergeCell ref="B662:AB662"/>
    <mergeCell ref="B1715:AB1715"/>
    <mergeCell ref="B960:AB960"/>
    <mergeCell ref="B199:AB199"/>
    <mergeCell ref="E1107:AB1107"/>
    <mergeCell ref="B1171:AB1171"/>
    <mergeCell ref="B1683:D1683"/>
    <mergeCell ref="B70:AB70"/>
    <mergeCell ref="B228:AB228"/>
    <mergeCell ref="B1107:D1107"/>
    <mergeCell ref="B672:AB672"/>
    <mergeCell ref="B1399:AB1399"/>
    <mergeCell ref="B1312:AB1312"/>
    <mergeCell ref="B1244:AB1244"/>
    <mergeCell ref="B185:AB185"/>
    <mergeCell ref="B483:AB483"/>
    <mergeCell ref="B301:AB301"/>
    <mergeCell ref="B817:AB817"/>
    <mergeCell ref="B939:AB939"/>
    <mergeCell ref="B1246:AB1246"/>
    <mergeCell ref="B214:AB214"/>
    <mergeCell ref="B1544:AB1544"/>
    <mergeCell ref="B512:AB512"/>
    <mergeCell ref="B1842:AB1842"/>
    <mergeCell ref="B303:AB303"/>
    <mergeCell ref="B941:AB941"/>
    <mergeCell ref="B601:AB601"/>
    <mergeCell ref="B484:AB484"/>
    <mergeCell ref="E936:AB936"/>
    <mergeCell ref="B1117:AB1117"/>
    <mergeCell ref="B1239:AB1239"/>
    <mergeCell ref="B1546:AB1546"/>
    <mergeCell ref="B812:AB812"/>
    <mergeCell ref="B1616:AB1616"/>
    <mergeCell ref="B1610:AB1610"/>
    <mergeCell ref="B217:AB217"/>
    <mergeCell ref="B648:D648"/>
    <mergeCell ref="B375:AB375"/>
    <mergeCell ref="E1440:AB1440"/>
    <mergeCell ref="B1311:AB1311"/>
    <mergeCell ref="B1645:AB1645"/>
    <mergeCell ref="B586:AB586"/>
    <mergeCell ref="B1639:AB1639"/>
    <mergeCell ref="B884:AB884"/>
    <mergeCell ref="E1467:AB1467"/>
    <mergeCell ref="E1899:AB1899"/>
    <mergeCell ref="B874:AB874"/>
    <mergeCell ref="B1172:AB1172"/>
    <mergeCell ref="B1601:AB1601"/>
    <mergeCell ref="B1286:AB1286"/>
    <mergeCell ref="B865:AB865"/>
    <mergeCell ref="B1294:AB1294"/>
    <mergeCell ref="B1630:AB1630"/>
    <mergeCell ref="B875:AB875"/>
    <mergeCell ref="B1901:AB1901"/>
    <mergeCell ref="B560:AB560"/>
    <mergeCell ref="B1173:AB1173"/>
    <mergeCell ref="B114:AB114"/>
    <mergeCell ref="B1586:AB1586"/>
    <mergeCell ref="B1934:AB1934"/>
    <mergeCell ref="B1930:AB1930"/>
    <mergeCell ref="B1175:AB1175"/>
    <mergeCell ref="B860:AB860"/>
    <mergeCell ref="B1473:AB1473"/>
    <mergeCell ref="B225:D225"/>
    <mergeCell ref="B130:AB130"/>
    <mergeCell ref="B567:D567"/>
    <mergeCell ref="B1593:D1593"/>
    <mergeCell ref="B1612:AB1612"/>
    <mergeCell ref="B132:AB132"/>
    <mergeCell ref="B430:AB430"/>
    <mergeCell ref="B1045:AB1045"/>
    <mergeCell ref="B290:AB290"/>
    <mergeCell ref="B588:AB588"/>
    <mergeCell ref="B590:AB590"/>
    <mergeCell ref="B913:AB913"/>
    <mergeCell ref="E585:AB585"/>
    <mergeCell ref="B20:AB20"/>
    <mergeCell ref="B1046:AB1046"/>
    <mergeCell ref="E1656:AB1656"/>
    <mergeCell ref="B1204:AB1204"/>
    <mergeCell ref="B1380:AB1380"/>
    <mergeCell ref="B159:AB159"/>
    <mergeCell ref="B134:AB134"/>
    <mergeCell ref="B922:AB922"/>
    <mergeCell ref="B167:AB167"/>
    <mergeCell ref="B1220:AB1220"/>
    <mergeCell ref="B161:AB161"/>
    <mergeCell ref="B503:AB503"/>
    <mergeCell ref="B1858:AB1858"/>
    <mergeCell ref="B617:AB617"/>
    <mergeCell ref="E927:AB927"/>
    <mergeCell ref="B915:AB915"/>
    <mergeCell ref="B1222:AB1222"/>
    <mergeCell ref="B1520:AB1520"/>
    <mergeCell ref="B461:AB461"/>
    <mergeCell ref="B803:AB803"/>
    <mergeCell ref="B795:AB795"/>
    <mergeCell ref="B917:AB917"/>
    <mergeCell ref="B1522:AB1522"/>
    <mergeCell ref="B373:AB373"/>
    <mergeCell ref="B1217:AB1217"/>
    <mergeCell ref="B1341:D1341"/>
    <mergeCell ref="B187:AB187"/>
    <mergeCell ref="B485:AB485"/>
    <mergeCell ref="B153:D153"/>
    <mergeCell ref="B1248:AB1248"/>
    <mergeCell ref="B493:AB493"/>
    <mergeCell ref="B487:AB487"/>
    <mergeCell ref="E1908:AB1908"/>
    <mergeCell ref="B819:D819"/>
    <mergeCell ref="B1269:D1269"/>
    <mergeCell ref="B148:AB148"/>
    <mergeCell ref="B446:AB446"/>
    <mergeCell ref="E873:AB873"/>
    <mergeCell ref="B780:AB780"/>
    <mergeCell ref="E270:AB270"/>
    <mergeCell ref="B535:AB535"/>
    <mergeCell ref="B1209:AB1209"/>
    <mergeCell ref="B869:AB869"/>
    <mergeCell ref="B448:AB448"/>
    <mergeCell ref="B1507:AB1507"/>
    <mergeCell ref="B746:AB746"/>
    <mergeCell ref="B1202:AB1202"/>
    <mergeCell ref="B143:AB143"/>
    <mergeCell ref="B1509:AB1509"/>
    <mergeCell ref="B1807:AB1807"/>
    <mergeCell ref="B775:AB775"/>
    <mergeCell ref="B1860:AB1860"/>
    <mergeCell ref="B1889:AB1889"/>
    <mergeCell ref="E342:AB342"/>
    <mergeCell ref="B821:AB821"/>
    <mergeCell ref="B1275:AB1275"/>
    <mergeCell ref="B1250:AB1250"/>
    <mergeCell ref="B1573:AB1573"/>
    <mergeCell ref="B218:AB218"/>
    <mergeCell ref="B1871:AB1871"/>
    <mergeCell ref="B516:AB516"/>
    <mergeCell ref="B1873:AB1873"/>
    <mergeCell ref="E513:AB513"/>
    <mergeCell ref="B849:AB849"/>
    <mergeCell ref="B1893:AB1893"/>
    <mergeCell ref="B1098:D1098"/>
    <mergeCell ref="B1138:AB1138"/>
    <mergeCell ref="B377:AB377"/>
    <mergeCell ref="B1134:D1134"/>
    <mergeCell ref="E1890:AB1890"/>
    <mergeCell ref="E1287:AB1287"/>
    <mergeCell ref="B1277:AB1277"/>
    <mergeCell ref="B850:AB850"/>
    <mergeCell ref="B95:AB95"/>
    <mergeCell ref="B1148:AB1148"/>
    <mergeCell ref="B89:AB89"/>
    <mergeCell ref="B393:AB393"/>
    <mergeCell ref="B1279:AB1279"/>
    <mergeCell ref="B1583:AB1583"/>
    <mergeCell ref="B1067:AB1067"/>
    <mergeCell ref="B1577:AB1577"/>
    <mergeCell ref="B1875:AB1875"/>
    <mergeCell ref="E855:AB855"/>
    <mergeCell ref="B1794:AB1794"/>
    <mergeCell ref="B97:AB97"/>
    <mergeCell ref="B1788:AB1788"/>
    <mergeCell ref="B395:AB395"/>
    <mergeCell ref="B513:D513"/>
    <mergeCell ref="B553:AB553"/>
    <mergeCell ref="B851:AB851"/>
    <mergeCell ref="B1367:AB1367"/>
    <mergeCell ref="B845:AB845"/>
    <mergeCell ref="B1149:AB1149"/>
    <mergeCell ref="E126:AB126"/>
    <mergeCell ref="B1147:AB1147"/>
    <mergeCell ref="B961:AB961"/>
    <mergeCell ref="B1937:AB1937"/>
    <mergeCell ref="B150:AB150"/>
    <mergeCell ref="B326:AB326"/>
    <mergeCell ref="B21:AB21"/>
    <mergeCell ref="B729:D729"/>
    <mergeCell ref="B1211:AB1211"/>
    <mergeCell ref="B152:AB152"/>
    <mergeCell ref="B765:D765"/>
    <mergeCell ref="B748:AB748"/>
    <mergeCell ref="B23:AB23"/>
    <mergeCell ref="B1851:AB1851"/>
    <mergeCell ref="B1536:AB1536"/>
    <mergeCell ref="B1511:AB1511"/>
    <mergeCell ref="B452:AB452"/>
    <mergeCell ref="B750:AB750"/>
    <mergeCell ref="B1538:AB1538"/>
    <mergeCell ref="E1719:AB1719"/>
    <mergeCell ref="E144:AB144"/>
    <mergeCell ref="B51:AB51"/>
    <mergeCell ref="E1116:AB1116"/>
    <mergeCell ref="B144:D144"/>
    <mergeCell ref="B1709:AB1709"/>
    <mergeCell ref="B1116:D1116"/>
    <mergeCell ref="B163:AB163"/>
    <mergeCell ref="B1135:AB1135"/>
    <mergeCell ref="B380:AB380"/>
    <mergeCell ref="B1433:AB1433"/>
    <mergeCell ref="B1503:D1503"/>
    <mergeCell ref="B1564:AB1564"/>
    <mergeCell ref="B1740:AB1740"/>
    <mergeCell ref="B165:AB165"/>
    <mergeCell ref="B1862:AB1862"/>
    <mergeCell ref="B1890:D1890"/>
    <mergeCell ref="B1795:AB1795"/>
    <mergeCell ref="B8:AB8"/>
    <mergeCell ref="B1909:AB1909"/>
    <mergeCell ref="B437:AB437"/>
    <mergeCell ref="B727:AB727"/>
    <mergeCell ref="B10:AB10"/>
    <mergeCell ref="B308:AB308"/>
    <mergeCell ref="E891:AB891"/>
    <mergeCell ref="B1498:AB1498"/>
    <mergeCell ref="B1492:AB1492"/>
    <mergeCell ref="B737:AB737"/>
    <mergeCell ref="B1796:AB1796"/>
    <mergeCell ref="B422:AB422"/>
    <mergeCell ref="B1790:AB1790"/>
    <mergeCell ref="B1027:AB1027"/>
    <mergeCell ref="B310:AB310"/>
    <mergeCell ref="B608:AB608"/>
    <mergeCell ref="B1500:AB1500"/>
    <mergeCell ref="B1798:AB1798"/>
    <mergeCell ref="B1483:AB1483"/>
    <mergeCell ref="B766:AB766"/>
    <mergeCell ref="B1037:AB1037"/>
    <mergeCell ref="B722:AB722"/>
    <mergeCell ref="B1335:AB1335"/>
    <mergeCell ref="E1647:AB1647"/>
    <mergeCell ref="B1066:AB1066"/>
    <mergeCell ref="B1137:AB1137"/>
    <mergeCell ref="B382:AB382"/>
    <mergeCell ref="B1435:AB1435"/>
    <mergeCell ref="B680:AB680"/>
    <mergeCell ref="B1733:AB1733"/>
    <mergeCell ref="B1838:AB1838"/>
    <mergeCell ref="B60:AB60"/>
    <mergeCell ref="E1125:AB1125"/>
    <mergeCell ref="B1751:AB1751"/>
    <mergeCell ref="B358:AB358"/>
    <mergeCell ref="B996:AB996"/>
    <mergeCell ref="B1411:AB1411"/>
    <mergeCell ref="B1330:AB1330"/>
    <mergeCell ref="B53:AB53"/>
    <mergeCell ref="B1079:AB1079"/>
    <mergeCell ref="B84:AB84"/>
    <mergeCell ref="B1469:AB1469"/>
    <mergeCell ref="B1872:D1872"/>
    <mergeCell ref="B80:AB80"/>
    <mergeCell ref="B384:AB384"/>
    <mergeCell ref="B1769:AB1769"/>
    <mergeCell ref="E1593:AB1593"/>
    <mergeCell ref="B411:AB411"/>
    <mergeCell ref="E1476:AB1476"/>
    <mergeCell ref="B1464:AB1464"/>
    <mergeCell ref="B709:AB709"/>
    <mergeCell ref="B504:D504"/>
    <mergeCell ref="E1863:AB1863"/>
    <mergeCell ref="B282:AB282"/>
    <mergeCell ref="B1472:AB1472"/>
    <mergeCell ref="B1770:AB1770"/>
    <mergeCell ref="B1009:AB1009"/>
    <mergeCell ref="B582:AB582"/>
    <mergeCell ref="B740:AB740"/>
    <mergeCell ref="B674:AB674"/>
    <mergeCell ref="B1864:AB1864"/>
    <mergeCell ref="B832:AB832"/>
    <mergeCell ref="B1082:AB1082"/>
    <mergeCell ref="B365:AB365"/>
    <mergeCell ref="E1521:AB1521"/>
    <mergeCell ref="B1240:AB1240"/>
    <mergeCell ref="B1416:AB1416"/>
    <mergeCell ref="B357:AB357"/>
    <mergeCell ref="B236:AB236"/>
    <mergeCell ref="B1521:D1521"/>
    <mergeCell ref="B1084:AB1084"/>
    <mergeCell ref="B58:AB58"/>
    <mergeCell ref="B1111:AB1111"/>
    <mergeCell ref="B52:AB52"/>
    <mergeCell ref="B665:AB665"/>
    <mergeCell ref="B350:AB350"/>
    <mergeCell ref="B1540:AB1540"/>
    <mergeCell ref="B1024:AB1024"/>
    <mergeCell ref="B779:AB779"/>
    <mergeCell ref="B77:AB77"/>
    <mergeCell ref="B794:AB794"/>
    <mergeCell ref="B253:AB253"/>
    <mergeCell ref="B551:AB551"/>
    <mergeCell ref="E1134:AB1134"/>
    <mergeCell ref="B59:AB59"/>
    <mergeCell ref="B86:AB86"/>
    <mergeCell ref="B888:AB888"/>
    <mergeCell ref="B1186:AB1186"/>
    <mergeCell ref="B127:AB127"/>
    <mergeCell ref="B585:D585"/>
    <mergeCell ref="B1213:AB1213"/>
    <mergeCell ref="B458:AB458"/>
    <mergeCell ref="B1008:D1008"/>
    <mergeCell ref="E1341:AB1341"/>
    <mergeCell ref="B940:AB940"/>
    <mergeCell ref="B731:AB731"/>
    <mergeCell ref="B1369:AB1369"/>
    <mergeCell ref="B337:AB337"/>
    <mergeCell ref="E9:AB9"/>
    <mergeCell ref="B1703:AB1703"/>
    <mergeCell ref="B644:AB644"/>
    <mergeCell ref="B1825:AB1825"/>
    <mergeCell ref="B942:AB942"/>
    <mergeCell ref="B1064:AB1064"/>
    <mergeCell ref="B1100:AB1100"/>
    <mergeCell ref="B9:D9"/>
    <mergeCell ref="B1398:AB1398"/>
    <mergeCell ref="B643:AB643"/>
    <mergeCell ref="E36:AB36"/>
    <mergeCell ref="B339:AB339"/>
    <mergeCell ref="B637:AB637"/>
    <mergeCell ref="B1669:AB1669"/>
    <mergeCell ref="B1696:AB1696"/>
    <mergeCell ref="B36:D36"/>
    <mergeCell ref="B1400:AB1400"/>
    <mergeCell ref="E1395:AB1395"/>
    <mergeCell ref="B1698:AB1698"/>
    <mergeCell ref="E792:AB792"/>
    <mergeCell ref="B1095:AB1095"/>
    <mergeCell ref="E1818:AB1818"/>
    <mergeCell ref="B1368:D1368"/>
    <mergeCell ref="B1395:D1395"/>
    <mergeCell ref="B792:D792"/>
    <mergeCell ref="B355:AB355"/>
    <mergeCell ref="B1818:D1818"/>
    <mergeCell ref="B784:AB784"/>
    <mergeCell ref="B1753:AB1753"/>
    <mergeCell ref="B876:AB876"/>
    <mergeCell ref="B998:AB998"/>
    <mergeCell ref="B1174:AB1174"/>
    <mergeCell ref="B115:AB115"/>
    <mergeCell ref="B273:AB273"/>
    <mergeCell ref="B571:AB571"/>
    <mergeCell ref="B1761:AB1761"/>
    <mergeCell ref="B1000:AB1000"/>
    <mergeCell ref="B1298:AB1298"/>
    <mergeCell ref="B573:AB573"/>
    <mergeCell ref="B871:AB871"/>
    <mergeCell ref="B1881:D1881"/>
    <mergeCell ref="B234:D234"/>
    <mergeCell ref="B270:D270"/>
    <mergeCell ref="B1659:AB1659"/>
    <mergeCell ref="B1900:AB1900"/>
    <mergeCell ref="B1771:AB1771"/>
    <mergeCell ref="B712:AB712"/>
    <mergeCell ref="B255:AB255"/>
    <mergeCell ref="B413:AB413"/>
    <mergeCell ref="B589:AB589"/>
    <mergeCell ref="B1018:AB1018"/>
    <mergeCell ref="B624:AB624"/>
    <mergeCell ref="B1316:AB1316"/>
    <mergeCell ref="B284:AB284"/>
    <mergeCell ref="B415:AB415"/>
    <mergeCell ref="B1468:AB1468"/>
    <mergeCell ref="B713:AB713"/>
    <mergeCell ref="B1229:AB1229"/>
    <mergeCell ref="B1766:AB1766"/>
    <mergeCell ref="B197:AB197"/>
    <mergeCell ref="E27:AB27"/>
    <mergeCell ref="B1782:D1782"/>
    <mergeCell ref="B1345:AB1345"/>
    <mergeCell ref="B506:AB506"/>
    <mergeCell ref="B628:AB628"/>
    <mergeCell ref="B1958:AB1958"/>
    <mergeCell ref="B926:AB926"/>
    <mergeCell ref="E1386:AB1386"/>
    <mergeCell ref="B928:AB928"/>
    <mergeCell ref="E1809:AB1809"/>
    <mergeCell ref="B773:AB773"/>
    <mergeCell ref="B1044:D1044"/>
    <mergeCell ref="E198:AB198"/>
    <mergeCell ref="B1386:D1386"/>
    <mergeCell ref="B1073:AB1073"/>
    <mergeCell ref="E1098:AB1098"/>
    <mergeCell ref="B646:AB646"/>
    <mergeCell ref="B944:AB944"/>
    <mergeCell ref="B1373:AB1373"/>
    <mergeCell ref="B1732:AB1732"/>
    <mergeCell ref="B977:AB977"/>
    <mergeCell ref="E801:AB801"/>
    <mergeCell ref="E1737:AB1737"/>
    <mergeCell ref="B245:AB245"/>
    <mergeCell ref="B543:AB543"/>
    <mergeCell ref="E549:AB549"/>
    <mergeCell ref="B1737:D1737"/>
    <mergeCell ref="B549:D549"/>
    <mergeCell ref="B545:AB545"/>
    <mergeCell ref="B1758:AB1758"/>
    <mergeCell ref="E396:AB396"/>
    <mergeCell ref="B359:AB359"/>
    <mergeCell ref="B1948:AB1948"/>
    <mergeCell ref="B246:AB246"/>
    <mergeCell ref="B605:AB605"/>
    <mergeCell ref="B1631:AB1631"/>
    <mergeCell ref="B1611:D1611"/>
    <mergeCell ref="B1666:AB1666"/>
    <mergeCell ref="B607:AB607"/>
    <mergeCell ref="B1660:AB1660"/>
    <mergeCell ref="B905:AB905"/>
    <mergeCell ref="B1203:AB1203"/>
    <mergeCell ref="E693:AB693"/>
    <mergeCell ref="B302:AB302"/>
    <mergeCell ref="E729:AB729"/>
    <mergeCell ref="B1632:AB1632"/>
    <mergeCell ref="E297:AB297"/>
    <mergeCell ref="B600:AB600"/>
    <mergeCell ref="E1665:AB1665"/>
    <mergeCell ref="B907:AB907"/>
    <mergeCell ref="B1205:AB1205"/>
    <mergeCell ref="B297:D297"/>
    <mergeCell ref="B1363:AB1363"/>
    <mergeCell ref="B1661:AB1661"/>
    <mergeCell ref="B1932:AB1932"/>
    <mergeCell ref="B631:AB631"/>
    <mergeCell ref="B1629:D1629"/>
    <mergeCell ref="B1663:AB1663"/>
    <mergeCell ref="B318:AB318"/>
    <mergeCell ref="B931:AB931"/>
    <mergeCell ref="B1026:D1026"/>
    <mergeCell ref="B328:AB328"/>
    <mergeCell ref="B1658:AB1658"/>
    <mergeCell ref="B626:AB626"/>
    <mergeCell ref="B1926:D1926"/>
    <mergeCell ref="B973:AB973"/>
    <mergeCell ref="B1945:AB1945"/>
    <mergeCell ref="B1190:AB1190"/>
    <mergeCell ref="E558:AB558"/>
    <mergeCell ref="B657:D657"/>
    <mergeCell ref="B220:AB220"/>
    <mergeCell ref="B247:AB247"/>
    <mergeCell ref="B518:AB518"/>
    <mergeCell ref="B1947:AB1947"/>
    <mergeCell ref="B676:AB676"/>
    <mergeCell ref="B1192:AB1192"/>
    <mergeCell ref="B1490:AB1490"/>
    <mergeCell ref="B887:AB887"/>
    <mergeCell ref="E1314:AB1314"/>
    <mergeCell ref="B547:AB547"/>
    <mergeCell ref="B101:AB101"/>
    <mergeCell ref="B976:AB976"/>
    <mergeCell ref="B170:AB170"/>
    <mergeCell ref="B1650:AB1650"/>
    <mergeCell ref="E630:AB630"/>
    <mergeCell ref="B933:AB933"/>
    <mergeCell ref="E1683:AB1683"/>
    <mergeCell ref="B1231:AB1231"/>
    <mergeCell ref="B172:AB172"/>
    <mergeCell ref="B1688:AB1688"/>
    <mergeCell ref="B252:D252"/>
    <mergeCell ref="B570:AB570"/>
    <mergeCell ref="B113:AB113"/>
    <mergeCell ref="B1303:AB1303"/>
    <mergeCell ref="B271:AB271"/>
    <mergeCell ref="B1297:AB1297"/>
    <mergeCell ref="B1955:AB1955"/>
    <mergeCell ref="B1949:AB1949"/>
    <mergeCell ref="B1194:AB1194"/>
    <mergeCell ref="B433:AB433"/>
    <mergeCell ref="B1623:AB1623"/>
    <mergeCell ref="B1617:AB1617"/>
    <mergeCell ref="B1921:AB1921"/>
    <mergeCell ref="B889:AB889"/>
    <mergeCell ref="B1951:AB1951"/>
    <mergeCell ref="B1196:AB1196"/>
    <mergeCell ref="B435:AB435"/>
    <mergeCell ref="B1314:D1314"/>
    <mergeCell ref="B1792:AB1792"/>
    <mergeCell ref="B1620:D1620"/>
    <mergeCell ref="B1017:D1017"/>
    <mergeCell ref="B818:AB818"/>
    <mergeCell ref="B609:AB609"/>
    <mergeCell ref="B1247:AB1247"/>
    <mergeCell ref="E1674:AB1674"/>
    <mergeCell ref="B1545:AB1545"/>
    <mergeCell ref="B1852:AB1852"/>
    <mergeCell ref="B820:AB820"/>
    <mergeCell ref="B1118:AB1118"/>
    <mergeCell ref="B1547:AB1547"/>
    <mergeCell ref="B1207:AB1207"/>
    <mergeCell ref="B1120:AB1120"/>
    <mergeCell ref="B1418:AB1418"/>
    <mergeCell ref="B1847:AB1847"/>
    <mergeCell ref="B1565:AB1565"/>
    <mergeCell ref="B533:AB533"/>
    <mergeCell ref="B603:D603"/>
    <mergeCell ref="B831:AB831"/>
    <mergeCell ref="B1936:AB1936"/>
    <mergeCell ref="B122:AB122"/>
    <mergeCell ref="B1892:AB1892"/>
    <mergeCell ref="E234:AB234"/>
    <mergeCell ref="B537:AB537"/>
    <mergeCell ref="B105:AB105"/>
    <mergeCell ref="B1902:AB1902"/>
    <mergeCell ref="B1183:AB1183"/>
    <mergeCell ref="B868:AB868"/>
    <mergeCell ref="B1894:AB1894"/>
    <mergeCell ref="B107:AB107"/>
    <mergeCell ref="B1475:AB1475"/>
    <mergeCell ref="B1160:AB1160"/>
    <mergeCell ref="B1595:AB1595"/>
    <mergeCell ref="E963:AB963"/>
    <mergeCell ref="B1176:AB1176"/>
    <mergeCell ref="E1935:AB1935"/>
    <mergeCell ref="B1168:AB1168"/>
    <mergeCell ref="B1466:AB1466"/>
    <mergeCell ref="B407:AB407"/>
    <mergeCell ref="B1899:D1899"/>
    <mergeCell ref="B1193:AB1193"/>
    <mergeCell ref="B438:AB438"/>
    <mergeCell ref="B894:AB894"/>
    <mergeCell ref="B1602:D1602"/>
    <mergeCell ref="B1920:AB1920"/>
    <mergeCell ref="B133:AB133"/>
    <mergeCell ref="B1651:AB1651"/>
    <mergeCell ref="B896:AB896"/>
    <mergeCell ref="B146:AB146"/>
    <mergeCell ref="E189:AB189"/>
    <mergeCell ref="B235:AB235"/>
    <mergeCell ref="B1856:AB1856"/>
    <mergeCell ref="B824:AB824"/>
    <mergeCell ref="B69:AB69"/>
    <mergeCell ref="E819:AB819"/>
    <mergeCell ref="B367:AB367"/>
    <mergeCell ref="B1122:AB1122"/>
    <mergeCell ref="B1576:AB1576"/>
    <mergeCell ref="E216:AB216"/>
    <mergeCell ref="B1910:AB1910"/>
    <mergeCell ref="B1453:AB1453"/>
    <mergeCell ref="B189:D189"/>
    <mergeCell ref="B216:D216"/>
    <mergeCell ref="B1876:AB1876"/>
    <mergeCell ref="E1548:AB1548"/>
    <mergeCell ref="B694:AB694"/>
    <mergeCell ref="B522:D522"/>
    <mergeCell ref="B1548:D1548"/>
    <mergeCell ref="E1602:AB1602"/>
    <mergeCell ref="B237:AB237"/>
    <mergeCell ref="B1480:AB1480"/>
    <mergeCell ref="B1594:AB1594"/>
    <mergeCell ref="B962:AB962"/>
    <mergeCell ref="B505:AB505"/>
    <mergeCell ref="B1558:AB1558"/>
    <mergeCell ref="B499:AB499"/>
    <mergeCell ref="B1716:AB1716"/>
    <mergeCell ref="B833:AB833"/>
    <mergeCell ref="B78:AB78"/>
    <mergeCell ref="B376:AB376"/>
    <mergeCell ref="B1262:AB1262"/>
    <mergeCell ref="B534:AB534"/>
    <mergeCell ref="B805:AB805"/>
    <mergeCell ref="B164:AB164"/>
    <mergeCell ref="B462:AB462"/>
    <mergeCell ref="B498:AB498"/>
    <mergeCell ref="B1828:AB1828"/>
    <mergeCell ref="B796:AB796"/>
    <mergeCell ref="B41:AB41"/>
    <mergeCell ref="B35:AB35"/>
    <mergeCell ref="B1225:AB1225"/>
    <mergeCell ref="B1523:AB1523"/>
    <mergeCell ref="E459:AB459"/>
    <mergeCell ref="B1096:AB1096"/>
    <mergeCell ref="B66:AB66"/>
    <mergeCell ref="B459:D459"/>
    <mergeCell ref="B1525:AB1525"/>
    <mergeCell ref="B1823:AB1823"/>
    <mergeCell ref="B793:AB793"/>
    <mergeCell ref="B524:AB524"/>
    <mergeCell ref="B162:D162"/>
    <mergeCell ref="B67:AB67"/>
    <mergeCell ref="B480:AB480"/>
    <mergeCell ref="B822:AB822"/>
    <mergeCell ref="B61:AB61"/>
    <mergeCell ref="B65:AB65"/>
    <mergeCell ref="B1560:AB1560"/>
    <mergeCell ref="E225:AB225"/>
    <mergeCell ref="B1718:AB1718"/>
    <mergeCell ref="B957:AB957"/>
    <mergeCell ref="B1261:AB1261"/>
    <mergeCell ref="B745:AB745"/>
    <mergeCell ref="B198:D198"/>
    <mergeCell ref="B536:AB536"/>
    <mergeCell ref="B834:AB834"/>
    <mergeCell ref="B90:D90"/>
    <mergeCell ref="B1062:D1062"/>
    <mergeCell ref="B109:AB109"/>
    <mergeCell ref="B1815:AB1815"/>
    <mergeCell ref="B416:AB416"/>
    <mergeCell ref="B1054:AB1054"/>
    <mergeCell ref="B1081:AB1081"/>
    <mergeCell ref="B22:AB22"/>
    <mergeCell ref="B1352:AB1352"/>
    <mergeCell ref="B320:AB320"/>
    <mergeCell ref="B295:AB295"/>
    <mergeCell ref="B1510:AB1510"/>
    <mergeCell ref="B1808:AB1808"/>
    <mergeCell ref="B749:AB749"/>
    <mergeCell ref="B409:AB409"/>
    <mergeCell ref="B1083:AB1083"/>
    <mergeCell ref="B1381:AB1381"/>
    <mergeCell ref="B1810:AB1810"/>
    <mergeCell ref="E450:AB450"/>
    <mergeCell ref="B1383:AB1383"/>
    <mergeCell ref="B423:D423"/>
    <mergeCell ref="B108:D108"/>
    <mergeCell ref="E477:AB477"/>
    <mergeCell ref="B467:AB467"/>
    <mergeCell ref="B477:D477"/>
    <mergeCell ref="B1528:AB1528"/>
    <mergeCell ref="B469:AB469"/>
    <mergeCell ref="B811:AB811"/>
    <mergeCell ref="B496:AB496"/>
    <mergeCell ref="B767:AB767"/>
    <mergeCell ref="B1065:AB1065"/>
    <mergeCell ref="B33:AB33"/>
    <mergeCell ref="B1883:AB1883"/>
    <mergeCell ref="B96:AB96"/>
    <mergeCell ref="B272:AB272"/>
    <mergeCell ref="B1456:AB1456"/>
    <mergeCell ref="B701:AB701"/>
    <mergeCell ref="B1754:AB1754"/>
    <mergeCell ref="B1614:AB1614"/>
    <mergeCell ref="B1885:AB1885"/>
    <mergeCell ref="B853:AB853"/>
    <mergeCell ref="B98:AB98"/>
    <mergeCell ref="B1157:AB1157"/>
    <mergeCell ref="B1151:AB1151"/>
    <mergeCell ref="B274:AB274"/>
    <mergeCell ref="B1580:AB1580"/>
    <mergeCell ref="E1575:AB1575"/>
    <mergeCell ref="E1926:AB1926"/>
    <mergeCell ref="E1611:AB1611"/>
    <mergeCell ref="B267:AB267"/>
    <mergeCell ref="B1159:AB1159"/>
    <mergeCell ref="B1914:AB1914"/>
    <mergeCell ref="B1457:AB1457"/>
    <mergeCell ref="B398:AB398"/>
    <mergeCell ref="B1451:AB1451"/>
    <mergeCell ref="B696:AB696"/>
    <mergeCell ref="B1575:D1575"/>
    <mergeCell ref="B1880:AB1880"/>
    <mergeCell ref="B1668:AB1668"/>
    <mergeCell ref="B269:AB269"/>
    <mergeCell ref="B1482:AB1482"/>
    <mergeCell ref="B693:D693"/>
    <mergeCell ref="B1813:AB1813"/>
    <mergeCell ref="B754:AB754"/>
    <mergeCell ref="B1839:AB1839"/>
    <mergeCell ref="B1441:AB1441"/>
    <mergeCell ref="B42:AB42"/>
    <mergeCell ref="B1870:AB1870"/>
    <mergeCell ref="B471:AB471"/>
    <mergeCell ref="B769:AB769"/>
    <mergeCell ref="B1443:AB1443"/>
    <mergeCell ref="B688:AB688"/>
    <mergeCell ref="B1836:D1836"/>
    <mergeCell ref="B1741:AB1741"/>
    <mergeCell ref="B44:AB44"/>
    <mergeCell ref="B682:AB682"/>
    <mergeCell ref="B980:AB980"/>
    <mergeCell ref="E468:AB468"/>
    <mergeCell ref="B1436:AB1436"/>
    <mergeCell ref="B681:AB681"/>
    <mergeCell ref="B37:AB37"/>
    <mergeCell ref="B1743:AB1743"/>
    <mergeCell ref="B1865:AB1865"/>
    <mergeCell ref="B988:AB988"/>
    <mergeCell ref="B254:AB254"/>
    <mergeCell ref="E837:AB837"/>
    <mergeCell ref="B1742:AB1742"/>
    <mergeCell ref="B1438:AB1438"/>
    <mergeCell ref="B683:AB683"/>
    <mergeCell ref="B837:D837"/>
    <mergeCell ref="B256:AB256"/>
    <mergeCell ref="B554:AB554"/>
    <mergeCell ref="B1738:AB1738"/>
    <mergeCell ref="B983:AB983"/>
    <mergeCell ref="B1224:D1224"/>
    <mergeCell ref="E1008:AB1008"/>
    <mergeCell ref="B99:D99"/>
    <mergeCell ref="B1071:D1071"/>
    <mergeCell ref="B329:AB329"/>
    <mergeCell ref="B627:AB627"/>
    <mergeCell ref="B1817:AB1817"/>
    <mergeCell ref="B758:AB758"/>
    <mergeCell ref="B785:AB785"/>
    <mergeCell ref="B1056:AB1056"/>
    <mergeCell ref="B1811:AB1811"/>
    <mergeCell ref="B24:AB24"/>
    <mergeCell ref="E783:AB783"/>
    <mergeCell ref="B331:AB331"/>
    <mergeCell ref="B453:AB453"/>
    <mergeCell ref="B1390:AB1390"/>
    <mergeCell ref="B751:AB751"/>
    <mergeCell ref="B629:AB629"/>
    <mergeCell ref="B1844:AB1844"/>
    <mergeCell ref="B787:AB787"/>
    <mergeCell ref="B1058:AB1058"/>
    <mergeCell ref="B32:AB32"/>
    <mergeCell ref="B1085:AB1085"/>
    <mergeCell ref="B26:AB26"/>
    <mergeCell ref="B330:AB330"/>
    <mergeCell ref="E1053:AB1053"/>
    <mergeCell ref="B753:AB753"/>
    <mergeCell ref="E486:AB486"/>
    <mergeCell ref="B1053:D1053"/>
    <mergeCell ref="B1112:AB1112"/>
    <mergeCell ref="B1087:AB1087"/>
    <mergeCell ref="E1422:AB1422"/>
    <mergeCell ref="B1410:AB1410"/>
    <mergeCell ref="B1385:AB1385"/>
    <mergeCell ref="B1764:D1764"/>
    <mergeCell ref="B1491:AB1491"/>
    <mergeCell ref="B730:AB730"/>
    <mergeCell ref="B705:AB705"/>
    <mergeCell ref="B1370:AB1370"/>
    <mergeCell ref="B311:AB311"/>
    <mergeCell ref="B1677:AB1677"/>
    <mergeCell ref="E1368:AB1368"/>
    <mergeCell ref="B916:AB916"/>
    <mergeCell ref="B732:AB732"/>
    <mergeCell ref="B1074:AB1074"/>
    <mergeCell ref="B1467:D1467"/>
    <mergeCell ref="E765:AB765"/>
    <mergeCell ref="B1030:AB1030"/>
    <mergeCell ref="B1372:AB1372"/>
    <mergeCell ref="B1328:AB1328"/>
    <mergeCell ref="B611:AB611"/>
    <mergeCell ref="B1670:AB1670"/>
    <mergeCell ref="E1071:AB1071"/>
    <mergeCell ref="B1672:AB1672"/>
    <mergeCell ref="B655:AB655"/>
    <mergeCell ref="B450:D450"/>
    <mergeCell ref="B1156:AB1156"/>
    <mergeCell ref="B401:AB401"/>
    <mergeCell ref="B1484:AB1484"/>
    <mergeCell ref="B1169:AB1169"/>
    <mergeCell ref="B1052:AB1052"/>
    <mergeCell ref="B925:AB925"/>
    <mergeCell ref="B1223:AB1223"/>
    <mergeCell ref="B531:D531"/>
    <mergeCell ref="B561:AB561"/>
    <mergeCell ref="B954:D954"/>
    <mergeCell ref="B1747:AB1747"/>
    <mergeCell ref="B1315:AB1315"/>
    <mergeCell ref="B283:AB283"/>
    <mergeCell ref="B258:AB258"/>
    <mergeCell ref="B1649:AB1649"/>
    <mergeCell ref="E378:AB378"/>
    <mergeCell ref="B1317:AB1317"/>
    <mergeCell ref="B1344:AB1344"/>
    <mergeCell ref="B285:AB285"/>
    <mergeCell ref="B260:AB260"/>
    <mergeCell ref="E1350:AB1350"/>
    <mergeCell ref="B1615:AB1615"/>
    <mergeCell ref="B378:D378"/>
    <mergeCell ref="B1346:AB1346"/>
    <mergeCell ref="B309:AB309"/>
    <mergeCell ref="B711:D711"/>
    <mergeCell ref="B1371:AB1371"/>
    <mergeCell ref="B859:AB859"/>
    <mergeCell ref="E1152:AB1152"/>
    <mergeCell ref="B700:AB700"/>
    <mergeCell ref="B1455:AB1455"/>
    <mergeCell ref="B1011:AB1011"/>
    <mergeCell ref="B1685:AB1685"/>
    <mergeCell ref="B286:AB286"/>
    <mergeCell ref="B924:AB924"/>
    <mergeCell ref="B584:AB584"/>
    <mergeCell ref="B715:AB715"/>
    <mergeCell ref="B1013:AB1013"/>
    <mergeCell ref="B1069:AB1069"/>
    <mergeCell ref="B405:D405"/>
    <mergeCell ref="B642:AB642"/>
    <mergeCell ref="B1377:D1377"/>
    <mergeCell ref="B1827:D1827"/>
    <mergeCell ref="B656:AB656"/>
    <mergeCell ref="B1846:AB1846"/>
    <mergeCell ref="B1734:AB1734"/>
    <mergeCell ref="B1419:AB1419"/>
    <mergeCell ref="B664:AB664"/>
    <mergeCell ref="B1717:AB1717"/>
    <mergeCell ref="B658:AB658"/>
    <mergeCell ref="B956:AB956"/>
    <mergeCell ref="B201:AB201"/>
    <mergeCell ref="B239:AB239"/>
    <mergeCell ref="B1848:AB1848"/>
    <mergeCell ref="E243:AB243"/>
    <mergeCell ref="B1421:AB1421"/>
    <mergeCell ref="B203:AB203"/>
    <mergeCell ref="E1845:AB1845"/>
    <mergeCell ref="B361:AB361"/>
    <mergeCell ref="B659:AB659"/>
    <mergeCell ref="E999:AB999"/>
    <mergeCell ref="B232:AB232"/>
    <mergeCell ref="B1445:AB1445"/>
    <mergeCell ref="B1103:AB1103"/>
    <mergeCell ref="B982:AB982"/>
    <mergeCell ref="B263:AB263"/>
    <mergeCell ref="B1447:AB1447"/>
    <mergeCell ref="B1015:AB1015"/>
    <mergeCell ref="B1745:AB1745"/>
    <mergeCell ref="B686:AB686"/>
    <mergeCell ref="B810:D810"/>
    <mergeCell ref="B229:AB229"/>
    <mergeCell ref="B1296:D1296"/>
    <mergeCell ref="B1772:AB1772"/>
    <mergeCell ref="B1904:AB1904"/>
    <mergeCell ref="B574:AB574"/>
    <mergeCell ref="B1329:AB1329"/>
    <mergeCell ref="B576:D576"/>
    <mergeCell ref="B999:D999"/>
    <mergeCell ref="B1337:AB1337"/>
    <mergeCell ref="B1635:AB1635"/>
    <mergeCell ref="E1755:AB1755"/>
    <mergeCell ref="B1755:D1755"/>
    <mergeCell ref="B292:AB292"/>
    <mergeCell ref="B721:AB721"/>
    <mergeCell ref="B1774:AB1774"/>
    <mergeCell ref="B1019:AB1019"/>
    <mergeCell ref="B932:AB932"/>
    <mergeCell ref="B294:AB294"/>
    <mergeCell ref="E1044:AB1044"/>
    <mergeCell ref="B592:AB592"/>
    <mergeCell ref="B1230:AB1230"/>
    <mergeCell ref="E1359:AB1359"/>
    <mergeCell ref="B890:AB890"/>
    <mergeCell ref="B1776:AB1776"/>
    <mergeCell ref="B1021:AB1021"/>
    <mergeCell ref="B1319:AB1319"/>
    <mergeCell ref="B892:AB892"/>
    <mergeCell ref="E747:AB747"/>
    <mergeCell ref="B1050:AB1050"/>
    <mergeCell ref="E1773:AB1773"/>
    <mergeCell ref="B1773:D1773"/>
    <mergeCell ref="B618:AB618"/>
    <mergeCell ref="B434:AB434"/>
    <mergeCell ref="B1704:AB1704"/>
    <mergeCell ref="B645:AB645"/>
    <mergeCell ref="B1763:AB1763"/>
    <mergeCell ref="B116:AB116"/>
    <mergeCell ref="B1306:AB1306"/>
    <mergeCell ref="B1300:AB1300"/>
    <mergeCell ref="B1604:AB1604"/>
    <mergeCell ref="B230:AB230"/>
    <mergeCell ref="B205:AB205"/>
    <mergeCell ref="B1640:AB1640"/>
    <mergeCell ref="B1634:AB1634"/>
    <mergeCell ref="E576:AB576"/>
    <mergeCell ref="B879:AB879"/>
    <mergeCell ref="E1629:AB1629"/>
    <mergeCell ref="B1177:AB1177"/>
    <mergeCell ref="B118:AB118"/>
    <mergeCell ref="B1308:AB1308"/>
    <mergeCell ref="B1606:AB1606"/>
    <mergeCell ref="E1026:AB1026"/>
    <mergeCell ref="B287:AB287"/>
    <mergeCell ref="B289:AB289"/>
    <mergeCell ref="B620:AB620"/>
    <mergeCell ref="B305:AB305"/>
    <mergeCell ref="B188:AB188"/>
    <mergeCell ref="B943:AB943"/>
    <mergeCell ref="B1032:AB1032"/>
    <mergeCell ref="B1706:AB1706"/>
    <mergeCell ref="B190:AB190"/>
    <mergeCell ref="B1243:AB1243"/>
    <mergeCell ref="B488:AB488"/>
    <mergeCell ref="B1401:AB1401"/>
    <mergeCell ref="B219:AB219"/>
    <mergeCell ref="B517:AB517"/>
    <mergeCell ref="B1119:AB1119"/>
    <mergeCell ref="B1679:AB1679"/>
    <mergeCell ref="B647:AB647"/>
    <mergeCell ref="B1233:D1233"/>
    <mergeCell ref="B226:AB226"/>
    <mergeCell ref="B1252:AB1252"/>
    <mergeCell ref="B649:AB649"/>
    <mergeCell ref="B947:AB947"/>
    <mergeCell ref="B192:AB192"/>
    <mergeCell ref="B1245:AB1245"/>
    <mergeCell ref="E1530:AB1530"/>
    <mergeCell ref="B1621:AB1621"/>
    <mergeCell ref="B1919:AB1919"/>
    <mergeCell ref="B222:AB222"/>
    <mergeCell ref="B974:AB974"/>
    <mergeCell ref="B949:AB949"/>
    <mergeCell ref="B221:AB221"/>
    <mergeCell ref="B1280:AB1280"/>
    <mergeCell ref="E648:AB648"/>
    <mergeCell ref="B1578:AB1578"/>
    <mergeCell ref="B861:AB861"/>
    <mergeCell ref="B639:D639"/>
    <mergeCell ref="B548:AB548"/>
    <mergeCell ref="B1603:AB1603"/>
    <mergeCell ref="B1394:AB1394"/>
    <mergeCell ref="B362:AB362"/>
    <mergeCell ref="B878:AB878"/>
    <mergeCell ref="B1182:AB1182"/>
    <mergeCell ref="B660:AB660"/>
    <mergeCell ref="B1334:AB1334"/>
    <mergeCell ref="B579:AB579"/>
    <mergeCell ref="B1287:D1287"/>
    <mergeCell ref="B972:D972"/>
    <mergeCell ref="B1647:D1647"/>
    <mergeCell ref="B1307:AB1307"/>
    <mergeCell ref="B981:D981"/>
    <mergeCell ref="B1917:D1917"/>
    <mergeCell ref="B125:AB125"/>
    <mergeCell ref="B1309:AB1309"/>
    <mergeCell ref="E1035:AB1035"/>
    <mergeCell ref="B1938:AB1938"/>
    <mergeCell ref="B906:AB906"/>
    <mergeCell ref="B539:AB539"/>
    <mergeCell ref="B577:AB577"/>
    <mergeCell ref="B145:AB145"/>
    <mergeCell ref="B120:AB120"/>
    <mergeCell ref="B181:AB181"/>
    <mergeCell ref="B1633:AB1633"/>
    <mergeCell ref="B908:AB908"/>
    <mergeCell ref="B147:AB147"/>
    <mergeCell ref="B451:AB451"/>
    <mergeCell ref="B1513:AB1513"/>
    <mergeCell ref="B481:AB481"/>
    <mergeCell ref="B1208:AB1208"/>
    <mergeCell ref="B1332:D1332"/>
    <mergeCell ref="B1353:AB1353"/>
    <mergeCell ref="B636:AB636"/>
    <mergeCell ref="B934:AB934"/>
    <mergeCell ref="B1232:AB1232"/>
    <mergeCell ref="B173:AB173"/>
    <mergeCell ref="B507:AB507"/>
    <mergeCell ref="B1697:AB1697"/>
    <mergeCell ref="B1653:AB1653"/>
    <mergeCell ref="B1234:AB1234"/>
    <mergeCell ref="B919:AB919"/>
    <mergeCell ref="B854:AB854"/>
    <mergeCell ref="B397:AB397"/>
    <mergeCell ref="B257:AB257"/>
    <mergeCell ref="E567:AB567"/>
    <mergeCell ref="B1283:AB1283"/>
    <mergeCell ref="B1:AB7"/>
    <mergeCell ref="B555:AB555"/>
    <mergeCell ref="E1278:AB1278"/>
    <mergeCell ref="E1620:AB1620"/>
    <mergeCell ref="B1124:AB1124"/>
    <mergeCell ref="B1162:AB1162"/>
    <mergeCell ref="B92:AB92"/>
    <mergeCell ref="B984:AB984"/>
    <mergeCell ref="B1282:AB1282"/>
    <mergeCell ref="B1278:D1278"/>
    <mergeCell ref="B557:AB557"/>
    <mergeCell ref="B1195:AB1195"/>
    <mergeCell ref="B1493:AB1493"/>
    <mergeCell ref="B94:AB94"/>
    <mergeCell ref="B202:AB202"/>
    <mergeCell ref="B473:AB473"/>
    <mergeCell ref="B1532:AB1532"/>
    <mergeCell ref="B1226:AB1226"/>
    <mergeCell ref="E504:AB504"/>
    <mergeCell ref="B807:AB807"/>
    <mergeCell ref="B508:AB508"/>
    <mergeCell ref="B1534:AB1534"/>
    <mergeCell ref="B191:AB191"/>
    <mergeCell ref="B349:AB349"/>
    <mergeCell ref="B877:AB877"/>
    <mergeCell ref="B1605:AB1605"/>
    <mergeCell ref="B29:AB29"/>
    <mergeCell ref="B1942:AB1942"/>
    <mergeCell ref="B910:AB910"/>
    <mergeCell ref="B155:AB155"/>
    <mergeCell ref="B1426:AB1426"/>
    <mergeCell ref="B149:AB149"/>
    <mergeCell ref="B1855:AB1855"/>
    <mergeCell ref="B1515:AB1515"/>
    <mergeCell ref="E153:AB153"/>
    <mergeCell ref="E495:AB495"/>
    <mergeCell ref="E180:AB180"/>
    <mergeCell ref="B1121:AB1121"/>
    <mergeCell ref="B912:AB912"/>
    <mergeCell ref="B1550:AB1550"/>
    <mergeCell ref="B1210:AB1210"/>
    <mergeCell ref="B151:AB151"/>
    <mergeCell ref="B1726:AB1726"/>
    <mergeCell ref="E909:AB909"/>
    <mergeCell ref="B1212:AB1212"/>
    <mergeCell ref="B182:AB182"/>
    <mergeCell ref="E1881:AB1881"/>
    <mergeCell ref="B839:AB839"/>
    <mergeCell ref="B909:D909"/>
    <mergeCell ref="B1845:D1845"/>
    <mergeCell ref="B1268:AB1268"/>
    <mergeCell ref="B841:AB841"/>
    <mergeCell ref="B1139:AB1139"/>
    <mergeCell ref="B1437:AB1437"/>
    <mergeCell ref="B1568:AB1568"/>
    <mergeCell ref="B1866:AB1866"/>
    <mergeCell ref="E531:AB531"/>
    <mergeCell ref="B1141:AB1141"/>
    <mergeCell ref="B386:AB386"/>
    <mergeCell ref="B12:AB12"/>
    <mergeCell ref="B739:AB739"/>
    <mergeCell ref="B1923:AB1923"/>
    <mergeCell ref="B530:AB530"/>
    <mergeCell ref="B14:AB14"/>
    <mergeCell ref="B136:AB136"/>
    <mergeCell ref="B312:AB312"/>
    <mergeCell ref="B610:AB610"/>
    <mergeCell ref="B1502:AB1502"/>
    <mergeCell ref="B470:AB470"/>
    <mergeCell ref="B741:AB741"/>
    <mergeCell ref="B1496:AB1496"/>
    <mergeCell ref="B13:AB13"/>
    <mergeCell ref="B1039:AB1039"/>
    <mergeCell ref="B1952:AB1952"/>
    <mergeCell ref="B1075:AB1075"/>
    <mergeCell ref="B1495:AB1495"/>
    <mergeCell ref="B314:AB314"/>
    <mergeCell ref="B436:AB436"/>
    <mergeCell ref="B770:AB770"/>
    <mergeCell ref="E738:AB738"/>
    <mergeCell ref="B1497:AB1497"/>
    <mergeCell ref="E162:AB162"/>
    <mergeCell ref="B738:D738"/>
    <mergeCell ref="B1070:AB1070"/>
    <mergeCell ref="B135:D135"/>
    <mergeCell ref="B1188:D1188"/>
    <mergeCell ref="B154:AB154"/>
    <mergeCell ref="B1126:AB1126"/>
    <mergeCell ref="B1494:D1494"/>
    <mergeCell ref="B25:AB25"/>
    <mergeCell ref="B1555:AB1555"/>
    <mergeCell ref="B1929:AB1929"/>
    <mergeCell ref="B388:AB388"/>
    <mergeCell ref="B1597:AB1597"/>
    <mergeCell ref="E1269:AB1269"/>
    <mergeCell ref="B1895:AB1895"/>
    <mergeCell ref="B1354:AB1354"/>
    <mergeCell ref="B83:AB83"/>
    <mergeCell ref="E666:AB666"/>
    <mergeCell ref="B1474:AB1474"/>
    <mergeCell ref="B1897:AB1897"/>
    <mergeCell ref="B110:AB110"/>
    <mergeCell ref="B85:AB85"/>
    <mergeCell ref="B383:AB383"/>
    <mergeCell ref="B1355:AB1355"/>
    <mergeCell ref="B1784:AB1784"/>
    <mergeCell ref="B141:AB141"/>
    <mergeCell ref="B439:AB439"/>
    <mergeCell ref="B1799:AB1799"/>
    <mergeCell ref="B1853:AB1853"/>
    <mergeCell ref="B156:AB156"/>
    <mergeCell ref="B891:D891"/>
    <mergeCell ref="B454:AB454"/>
    <mergeCell ref="B1263:AB1263"/>
    <mergeCell ref="B1439:AB1439"/>
    <mergeCell ref="B842:AB842"/>
    <mergeCell ref="B1868:AB1868"/>
    <mergeCell ref="B836:AB836"/>
    <mergeCell ref="B1140:AB1140"/>
    <mergeCell ref="E1260:AB1260"/>
    <mergeCell ref="B1563:AB1563"/>
    <mergeCell ref="E1296:AB1296"/>
    <mergeCell ref="B1863:D1863"/>
    <mergeCell ref="E1872:AB1872"/>
    <mergeCell ref="B1099:AB1099"/>
    <mergeCell ref="B1128:AB1128"/>
    <mergeCell ref="B1094:AB1094"/>
    <mergeCell ref="B788:AB788"/>
    <mergeCell ref="B1130:AB1130"/>
    <mergeCell ref="B1428:AB1428"/>
    <mergeCell ref="B667:AB667"/>
    <mergeCell ref="B1559:AB1559"/>
    <mergeCell ref="B489:AB489"/>
    <mergeCell ref="B527:AB527"/>
    <mergeCell ref="B1857:AB1857"/>
    <mergeCell ref="E522:AB522"/>
    <mergeCell ref="B825:AB825"/>
    <mergeCell ref="B781:AB781"/>
    <mergeCell ref="B368:AB368"/>
    <mergeCell ref="B1123:AB1123"/>
    <mergeCell ref="B1430:AB1430"/>
    <mergeCell ref="B1859:AB1859"/>
    <mergeCell ref="E1854:AB1854"/>
    <mergeCell ref="B370:AB370"/>
    <mergeCell ref="E1251:AB1251"/>
    <mergeCell ref="B1854:D1854"/>
    <mergeCell ref="B1251:D1251"/>
    <mergeCell ref="B1029:AB1029"/>
    <mergeCell ref="B1270:AB1270"/>
    <mergeCell ref="B843:AB843"/>
    <mergeCell ref="B1272:AB1272"/>
    <mergeCell ref="B1570:AB1570"/>
    <mergeCell ref="B809:AB809"/>
    <mergeCell ref="B381:AB381"/>
    <mergeCell ref="B1260:D1260"/>
    <mergeCell ref="B126:D126"/>
    <mergeCell ref="B1809:D1809"/>
    <mergeCell ref="B443:AB443"/>
    <mergeCell ref="B16:AB16"/>
    <mergeCell ref="B768:AB768"/>
    <mergeCell ref="B1830:AB1830"/>
    <mergeCell ref="B1102:AB1102"/>
    <mergeCell ref="B43:AB43"/>
    <mergeCell ref="B347:AB347"/>
    <mergeCell ref="B341:AB341"/>
    <mergeCell ref="B1531:AB1531"/>
    <mergeCell ref="B1829:AB1829"/>
    <mergeCell ref="E171:AB171"/>
    <mergeCell ref="B797:AB797"/>
    <mergeCell ref="B1068:AB1068"/>
    <mergeCell ref="B1104:AB1104"/>
    <mergeCell ref="B1402:AB1402"/>
    <mergeCell ref="B1700:AB1700"/>
    <mergeCell ref="B641:AB641"/>
    <mergeCell ref="B799:AB799"/>
    <mergeCell ref="B1526:AB1526"/>
    <mergeCell ref="B1702:AB1702"/>
    <mergeCell ref="B62:AB62"/>
    <mergeCell ref="B180:D180"/>
    <mergeCell ref="B88:AB88"/>
    <mergeCell ref="B82:AB82"/>
    <mergeCell ref="B79:AB79"/>
    <mergeCell ref="E864:AB864"/>
    <mergeCell ref="B852:AB852"/>
    <mergeCell ref="B1596:AB1596"/>
    <mergeCell ref="B1281:AB1281"/>
    <mergeCell ref="E261:AB261"/>
    <mergeCell ref="B1886:AB1886"/>
    <mergeCell ref="B275:AB275"/>
    <mergeCell ref="E1917:AB1917"/>
    <mergeCell ref="B1465:AB1465"/>
    <mergeCell ref="B406:AB406"/>
    <mergeCell ref="B1459:AB1459"/>
    <mergeCell ref="B704:AB704"/>
    <mergeCell ref="B1757:AB1757"/>
    <mergeCell ref="B1002:AB1002"/>
    <mergeCell ref="B277:AB277"/>
    <mergeCell ref="B399:AB399"/>
    <mergeCell ref="B575:AB575"/>
    <mergeCell ref="B1759:AB1759"/>
    <mergeCell ref="B1004:AB1004"/>
    <mergeCell ref="B1302:AB1302"/>
    <mergeCell ref="B1460:AB1460"/>
    <mergeCell ref="B396:D396"/>
    <mergeCell ref="B1178:AB1178"/>
    <mergeCell ref="B417:AB417"/>
    <mergeCell ref="E423:AB423"/>
    <mergeCell ref="B1470:AB1470"/>
    <mergeCell ref="B1389:AB1389"/>
    <mergeCell ref="B1687:AB1687"/>
    <mergeCell ref="B1478:AB1478"/>
    <mergeCell ref="B419:AB419"/>
    <mergeCell ref="E414:AB414"/>
    <mergeCell ref="B717:AB717"/>
    <mergeCell ref="E756:AB756"/>
    <mergeCell ref="B1689:AB1689"/>
    <mergeCell ref="B414:D414"/>
    <mergeCell ref="B1831:AB1831"/>
    <mergeCell ref="E1836:AB1836"/>
    <mergeCell ref="B175:AB175"/>
    <mergeCell ref="B930:AB930"/>
    <mergeCell ref="E1512:AB1512"/>
    <mergeCell ref="B1693:AB1693"/>
    <mergeCell ref="B1512:D1512"/>
    <mergeCell ref="B324:D324"/>
    <mergeCell ref="B806:AB806"/>
    <mergeCell ref="B1077:AB1077"/>
    <mergeCell ref="B343:AB343"/>
    <mergeCell ref="B474:AB474"/>
    <mergeCell ref="B772:AB772"/>
    <mergeCell ref="B1288:AB1288"/>
    <mergeCell ref="B1446:AB1446"/>
    <mergeCell ref="B1106:AB1106"/>
    <mergeCell ref="B47:AB47"/>
    <mergeCell ref="B1744:AB1744"/>
    <mergeCell ref="B27:D27"/>
    <mergeCell ref="B345:AB345"/>
    <mergeCell ref="B264:AB264"/>
    <mergeCell ref="B562:AB562"/>
    <mergeCell ref="B1072:AB1072"/>
    <mergeCell ref="B1108:AB1108"/>
    <mergeCell ref="B991:AB991"/>
    <mergeCell ref="B1406:AB1406"/>
    <mergeCell ref="B1289:AB1289"/>
    <mergeCell ref="B862:AB862"/>
    <mergeCell ref="E711:AB711"/>
    <mergeCell ref="B703:AB703"/>
    <mergeCell ref="B1007:AB1007"/>
    <mergeCell ref="B1001:AB1001"/>
    <mergeCell ref="B119:AB119"/>
    <mergeCell ref="B112:AB112"/>
    <mergeCell ref="B281:AB281"/>
    <mergeCell ref="B1680:AB1680"/>
    <mergeCell ref="B604:AB604"/>
    <mergeCell ref="B1458:D1458"/>
    <mergeCell ref="E1827:AB1827"/>
    <mergeCell ref="B1033:AB1033"/>
    <mergeCell ref="B1375:AB1375"/>
    <mergeCell ref="B432:D432"/>
    <mergeCell ref="B904:AB904"/>
    <mergeCell ref="B635:AB635"/>
    <mergeCell ref="B1333:AB1333"/>
    <mergeCell ref="B1362:AB1362"/>
    <mergeCell ref="B1791:D1791"/>
    <mergeCell ref="B759:AB759"/>
    <mergeCell ref="B935:AB935"/>
    <mergeCell ref="B1057:AB1057"/>
    <mergeCell ref="B1093:AB1093"/>
    <mergeCell ref="B1364:AB1364"/>
    <mergeCell ref="B1391:AB1391"/>
    <mergeCell ref="B332:AB332"/>
    <mergeCell ref="B1662:AB1662"/>
    <mergeCell ref="B1820:AB1820"/>
    <mergeCell ref="B937:AB937"/>
    <mergeCell ref="B1059:AB1059"/>
    <mergeCell ref="B1357:AB1357"/>
    <mergeCell ref="B1393:AB1393"/>
    <mergeCell ref="B1691:AB1691"/>
    <mergeCell ref="B632:AB632"/>
    <mergeCell ref="B756:D756"/>
    <mergeCell ref="B1762:AB1762"/>
    <mergeCell ref="B1579:AB1579"/>
    <mergeCell ref="B520:AB520"/>
    <mergeCell ref="B987:AB987"/>
    <mergeCell ref="B1291:AB1291"/>
    <mergeCell ref="E720:AB720"/>
    <mergeCell ref="B268:AB268"/>
    <mergeCell ref="B591:AB591"/>
    <mergeCell ref="B224:AB224"/>
    <mergeCell ref="B566:AB566"/>
    <mergeCell ref="B684:D684"/>
    <mergeCell ref="B1318:AB1318"/>
    <mergeCell ref="B1652:AB1652"/>
    <mergeCell ref="E387:AB387"/>
    <mergeCell ref="B1950:AB1950"/>
    <mergeCell ref="B990:D990"/>
    <mergeCell ref="B1191:AB1191"/>
    <mergeCell ref="B1036:AB1036"/>
    <mergeCell ref="B250:AB250"/>
    <mergeCell ref="E99:AB99"/>
    <mergeCell ref="B1038:AB1038"/>
    <mergeCell ref="B1336:AB1336"/>
    <mergeCell ref="B619:AB619"/>
    <mergeCell ref="B1678:AB1678"/>
    <mergeCell ref="B304:AB304"/>
    <mergeCell ref="B602:AB602"/>
    <mergeCell ref="B733:AB733"/>
    <mergeCell ref="E405:AB405"/>
    <mergeCell ref="B1031:AB1031"/>
    <mergeCell ref="E1458:AB1458"/>
    <mergeCell ref="B490:AB490"/>
    <mergeCell ref="B1338:AB1338"/>
    <mergeCell ref="E1377:AB1377"/>
    <mergeCell ref="B1365:AB1365"/>
    <mergeCell ref="B1636:AB1636"/>
    <mergeCell ref="B1954:AB1954"/>
    <mergeCell ref="B1622:AB1622"/>
    <mergeCell ref="B951:AB951"/>
    <mergeCell ref="B1681:AB1681"/>
    <mergeCell ref="B1249:AB1249"/>
    <mergeCell ref="B1040:AB1040"/>
    <mergeCell ref="B594:D594"/>
    <mergeCell ref="B1530:D1530"/>
    <mergeCell ref="B953:AB953"/>
    <mergeCell ref="B613:AB613"/>
    <mergeCell ref="B735:AB735"/>
    <mergeCell ref="B911:AB911"/>
    <mergeCell ref="B1549:AB1549"/>
    <mergeCell ref="B1340:AB1340"/>
    <mergeCell ref="B946:AB946"/>
    <mergeCell ref="B606:AB606"/>
    <mergeCell ref="B1551:AB1551"/>
    <mergeCell ref="B823:AB823"/>
    <mergeCell ref="B1849:AB1849"/>
    <mergeCell ref="E918:AB918"/>
    <mergeCell ref="B918:D918"/>
    <mergeCell ref="E945:AB945"/>
    <mergeCell ref="B945:D945"/>
    <mergeCell ref="B1725:AB1725"/>
    <mergeCell ref="B964:AB964"/>
    <mergeCell ref="B1420:AB1420"/>
    <mergeCell ref="B966:AB966"/>
    <mergeCell ref="B1701:D1701"/>
    <mergeCell ref="B1264:AB1264"/>
    <mergeCell ref="B1720:AB1720"/>
    <mergeCell ref="B661:AB661"/>
    <mergeCell ref="B965:AB965"/>
    <mergeCell ref="B1941:AB1941"/>
    <mergeCell ref="B1180:AB1180"/>
    <mergeCell ref="B1624:AB1624"/>
    <mergeCell ref="B898:AB898"/>
    <mergeCell ref="B137:AB137"/>
    <mergeCell ref="E1062:AB1062"/>
    <mergeCell ref="B1327:AB1327"/>
    <mergeCell ref="B1321:AB1321"/>
    <mergeCell ref="B1625:AB1625"/>
    <mergeCell ref="B593:AB593"/>
    <mergeCell ref="B1619:AB1619"/>
    <mergeCell ref="B1655:AB1655"/>
    <mergeCell ref="B1022:AB1022"/>
    <mergeCell ref="B1198:AB1198"/>
    <mergeCell ref="B139:AB139"/>
    <mergeCell ref="B1320:AB1320"/>
    <mergeCell ref="B804:AB804"/>
    <mergeCell ref="B1356:AB1356"/>
    <mergeCell ref="B1627:AB1627"/>
    <mergeCell ref="B1654:AB1654"/>
    <mergeCell ref="B595:AB595"/>
    <mergeCell ref="B1925:AB1925"/>
    <mergeCell ref="B893:AB893"/>
    <mergeCell ref="B1322:AB1322"/>
    <mergeCell ref="B1358:AB1358"/>
    <mergeCell ref="B1476:D1476"/>
    <mergeCell ref="B895:AB895"/>
    <mergeCell ref="B519:AB519"/>
    <mergeCell ref="B209:AB209"/>
    <mergeCell ref="B238:AB238"/>
    <mergeCell ref="B509:AB509"/>
    <mergeCell ref="E333:AB333"/>
    <mergeCell ref="B1922:AB1922"/>
    <mergeCell ref="B523:AB523"/>
    <mergeCell ref="B827:AB827"/>
    <mergeCell ref="E1404:AB1404"/>
    <mergeCell ref="E1710:AB1710"/>
    <mergeCell ref="B668:AB668"/>
    <mergeCell ref="B1674:D1674"/>
    <mergeCell ref="B1154:AB1154"/>
    <mergeCell ref="B63:D63"/>
    <mergeCell ref="B1710:D1710"/>
    <mergeCell ref="B1911:AB1911"/>
    <mergeCell ref="B241:AB241"/>
    <mergeCell ref="B124:AB124"/>
    <mergeCell ref="B968:AB968"/>
    <mergeCell ref="B213:AB213"/>
    <mergeCell ref="B1940:AB1940"/>
    <mergeCell ref="B1185:AB1185"/>
    <mergeCell ref="B424:AB424"/>
    <mergeCell ref="B1477:AB1477"/>
    <mergeCell ref="B1299:AB1299"/>
    <mergeCell ref="B1912:AB1912"/>
    <mergeCell ref="E1332:AB1332"/>
    <mergeCell ref="B242:AB242"/>
    <mergeCell ref="B880:AB880"/>
    <mergeCell ref="B1906:AB1906"/>
    <mergeCell ref="B1187:AB1187"/>
    <mergeCell ref="B1607:AB1607"/>
    <mergeCell ref="B1305:D1305"/>
    <mergeCell ref="B208:AB208"/>
    <mergeCell ref="B724:AB724"/>
    <mergeCell ref="B1599:AB1599"/>
    <mergeCell ref="B64:AB64"/>
    <mergeCell ref="B1840:AB1840"/>
    <mergeCell ref="B1237:AB1237"/>
    <mergeCell ref="B207:D207"/>
    <mergeCell ref="E1539:AB1539"/>
    <mergeCell ref="B501:AB501"/>
    <mergeCell ref="B1527:AB1527"/>
    <mergeCell ref="B55:AB55"/>
    <mergeCell ref="B497:AB497"/>
    <mergeCell ref="B169:AB169"/>
    <mergeCell ref="B1539:D1539"/>
    <mergeCell ref="B526:AB526"/>
    <mergeCell ref="B955:AB955"/>
    <mergeCell ref="B200:AB200"/>
    <mergeCell ref="B1253:AB1253"/>
    <mergeCell ref="B194:AB194"/>
    <mergeCell ref="B492:AB492"/>
    <mergeCell ref="B1953:D1953"/>
    <mergeCell ref="B528:AB528"/>
    <mergeCell ref="B826:AB826"/>
    <mergeCell ref="B71:AB71"/>
    <mergeCell ref="B1255:AB1255"/>
    <mergeCell ref="B500:AB500"/>
    <mergeCell ref="B223:AB223"/>
    <mergeCell ref="B798:AB798"/>
    <mergeCell ref="B494:AB494"/>
    <mergeCell ref="B521:AB521"/>
    <mergeCell ref="B1553:AB1553"/>
    <mergeCell ref="B195:AB195"/>
    <mergeCell ref="B231:AB231"/>
    <mergeCell ref="E954:AB954"/>
    <mergeCell ref="B1884:AB1884"/>
    <mergeCell ref="B529:AB529"/>
    <mergeCell ref="B1931:AB1931"/>
    <mergeCell ref="B1887:AB1887"/>
    <mergeCell ref="B100:AB100"/>
    <mergeCell ref="B75:AB75"/>
    <mergeCell ref="B1153:AB1153"/>
    <mergeCell ref="E981:AB981"/>
    <mergeCell ref="B1284:AB1284"/>
    <mergeCell ref="B1582:AB1582"/>
    <mergeCell ref="B863:AB863"/>
    <mergeCell ref="B857:AB857"/>
    <mergeCell ref="B102:AB102"/>
    <mergeCell ref="B1155:AB1155"/>
    <mergeCell ref="E135:AB135"/>
    <mergeCell ref="B400:AB400"/>
    <mergeCell ref="B698:AB698"/>
    <mergeCell ref="B856:AB856"/>
    <mergeCell ref="B1882:AB1882"/>
    <mergeCell ref="B1285:AB1285"/>
    <mergeCell ref="B1801:AB1801"/>
    <mergeCell ref="B402:AB402"/>
    <mergeCell ref="E441:AB441"/>
    <mergeCell ref="B858:AB858"/>
    <mergeCell ref="B1913:AB1913"/>
    <mergeCell ref="B1585:AB1585"/>
    <mergeCell ref="B1644:AB1644"/>
    <mergeCell ref="B128:AB128"/>
    <mergeCell ref="B1181:AB1181"/>
    <mergeCell ref="B426:AB426"/>
    <mergeCell ref="B855:D855"/>
    <mergeCell ref="B1189:AB1189"/>
    <mergeCell ref="B1487:AB1487"/>
    <mergeCell ref="B428:AB428"/>
    <mergeCell ref="B1874:AB1874"/>
    <mergeCell ref="B475:AB475"/>
    <mergeCell ref="B56:AB56"/>
    <mergeCell ref="B1569:AB1569"/>
    <mergeCell ref="B176:AB176"/>
    <mergeCell ref="B1867:AB1867"/>
    <mergeCell ref="B1903:AB1903"/>
    <mergeCell ref="B1142:AB1142"/>
    <mergeCell ref="B685:AB685"/>
    <mergeCell ref="B1571:AB1571"/>
    <mergeCell ref="E1566:AB1566"/>
    <mergeCell ref="B1869:AB1869"/>
    <mergeCell ref="B1529:AB1529"/>
    <mergeCell ref="B1905:AB1905"/>
    <mergeCell ref="B1442:AB1442"/>
    <mergeCell ref="B687:AB687"/>
    <mergeCell ref="B1566:D1566"/>
    <mergeCell ref="B1898:AB1898"/>
    <mergeCell ref="B1145:AB1145"/>
    <mergeCell ref="B1587:AB1587"/>
    <mergeCell ref="E81:AB81"/>
    <mergeCell ref="B81:D81"/>
    <mergeCell ref="B840:AB840"/>
    <mergeCell ref="B1216:AB1216"/>
    <mergeCell ref="B1514:AB1514"/>
    <mergeCell ref="B482:AB482"/>
    <mergeCell ref="B1812:AB1812"/>
    <mergeCell ref="B1814:AB1814"/>
    <mergeCell ref="B782:AB782"/>
    <mergeCell ref="E1638:AB1638"/>
    <mergeCell ref="E1242:AB1242"/>
    <mergeCell ref="B813:AB813"/>
    <mergeCell ref="B1821:AB1821"/>
    <mergeCell ref="B1427:AB1427"/>
    <mergeCell ref="B34:AB34"/>
    <mergeCell ref="B28:AB28"/>
    <mergeCell ref="B1218:AB1218"/>
    <mergeCell ref="B186:AB186"/>
    <mergeCell ref="B457:AB457"/>
    <mergeCell ref="B1516:AB1516"/>
    <mergeCell ref="B755:AB755"/>
    <mergeCell ref="B791:AB791"/>
    <mergeCell ref="B1429:AB1429"/>
    <mergeCell ref="B1727:AB1727"/>
    <mergeCell ref="B30:AB30"/>
    <mergeCell ref="E1215:AB1215"/>
    <mergeCell ref="B1518:AB1518"/>
    <mergeCell ref="B1841:AB1841"/>
    <mergeCell ref="B1816:AB1816"/>
    <mergeCell ref="B757:AB757"/>
    <mergeCell ref="E612:AB612"/>
    <mergeCell ref="B1091:AB1091"/>
    <mergeCell ref="B1215:D1215"/>
    <mergeCell ref="B612:D612"/>
    <mergeCell ref="B786:AB786"/>
    <mergeCell ref="B1638:D1638"/>
    <mergeCell ref="B1206:D1206"/>
    <mergeCell ref="B902:AB902"/>
    <mergeCell ref="B166:AB166"/>
    <mergeCell ref="B464:AB464"/>
    <mergeCell ref="B815:AB815"/>
    <mergeCell ref="E810:AB810"/>
    <mergeCell ref="B1113:AB1113"/>
    <mergeCell ref="B352:AB352"/>
    <mergeCell ref="B1803:AB1803"/>
    <mergeCell ref="B106:AB106"/>
    <mergeCell ref="B744:AB744"/>
    <mergeCell ref="B771:AB771"/>
    <mergeCell ref="B1042:AB1042"/>
    <mergeCell ref="B404:AB404"/>
    <mergeCell ref="E1494:AB1494"/>
    <mergeCell ref="B1797:AB1797"/>
    <mergeCell ref="B1376:AB1376"/>
    <mergeCell ref="B441:D441"/>
    <mergeCell ref="B615:AB615"/>
    <mergeCell ref="B1805:AB1805"/>
    <mergeCell ref="B460:AB460"/>
    <mergeCell ref="E1197:AB1197"/>
    <mergeCell ref="B1800:D1800"/>
    <mergeCell ref="B1197:D1197"/>
    <mergeCell ref="B760:AB760"/>
    <mergeCell ref="B157:AB157"/>
    <mergeCell ref="B455:AB455"/>
    <mergeCell ref="B491:AB491"/>
    <mergeCell ref="B762:AB762"/>
    <mergeCell ref="B174:AB174"/>
    <mergeCell ref="B1542:AB1542"/>
    <mergeCell ref="B1227:AB1227"/>
    <mergeCell ref="B168:AB168"/>
    <mergeCell ref="E207:AB207"/>
    <mergeCell ref="B472:AB472"/>
    <mergeCell ref="B466:AB466"/>
    <mergeCell ref="B808:AB808"/>
    <mergeCell ref="E1233:AB1233"/>
    <mergeCell ref="B240:AB240"/>
    <mergeCell ref="E1305:AB1305"/>
    <mergeCell ref="E540:AB540"/>
    <mergeCell ref="B1143:D1143"/>
    <mergeCell ref="B1479:AB1479"/>
    <mergeCell ref="B1777:AB1777"/>
    <mergeCell ref="B540:D540"/>
    <mergeCell ref="B1591:AB1591"/>
    <mergeCell ref="B1802:AB1802"/>
    <mergeCell ref="B1047:AB1047"/>
    <mergeCell ref="B15:AB15"/>
    <mergeCell ref="B313:AB313"/>
    <mergeCell ref="B444:AB444"/>
    <mergeCell ref="B104:AB104"/>
    <mergeCell ref="B742:AB742"/>
    <mergeCell ref="B778:AB778"/>
    <mergeCell ref="B1049:AB1049"/>
    <mergeCell ref="B1076:AB1076"/>
    <mergeCell ref="B1347:AB1347"/>
    <mergeCell ref="B1505:AB1505"/>
    <mergeCell ref="B538:AB538"/>
    <mergeCell ref="B532:AB532"/>
    <mergeCell ref="B333:D333"/>
    <mergeCell ref="B669:AB669"/>
    <mergeCell ref="B1722:AB1722"/>
    <mergeCell ref="B360:D360"/>
    <mergeCell ref="B563:AB563"/>
    <mergeCell ref="B992:AB992"/>
    <mergeCell ref="B1290:AB1290"/>
    <mergeCell ref="B1719:D1719"/>
    <mergeCell ref="B565:AB565"/>
    <mergeCell ref="B266:AB266"/>
    <mergeCell ref="B564:AB564"/>
    <mergeCell ref="E684:AB684"/>
    <mergeCell ref="B1721:AB1721"/>
    <mergeCell ref="B249:AB249"/>
    <mergeCell ref="B678:AB678"/>
    <mergeCell ref="B363:AB363"/>
    <mergeCell ref="E369:AB369"/>
    <mergeCell ref="B1557:D1557"/>
    <mergeCell ref="B1731:AB1731"/>
    <mergeCell ref="B369:D369"/>
    <mergeCell ref="B1003:AB1003"/>
    <mergeCell ref="E1728:AB1728"/>
    <mergeCell ref="E72:AB72"/>
    <mergeCell ref="B1115:AB1115"/>
    <mergeCell ref="B1728:D1728"/>
    <mergeCell ref="B72:D72"/>
    <mergeCell ref="B390:AB390"/>
    <mergeCell ref="B1125:D1125"/>
    <mergeCell ref="B1878:AB1878"/>
    <mergeCell ref="B91:AB91"/>
    <mergeCell ref="B1144:AB1144"/>
    <mergeCell ref="B389:AB389"/>
    <mergeCell ref="E972:AB972"/>
    <mergeCell ref="B93:AB93"/>
    <mergeCell ref="B1146:AB1146"/>
    <mergeCell ref="B391:AB391"/>
    <mergeCell ref="B714:AB714"/>
    <mergeCell ref="B385:AB385"/>
    <mergeCell ref="B689:AB689"/>
    <mergeCell ref="B1444:AB1444"/>
    <mergeCell ref="B262:AB262"/>
    <mergeCell ref="B1775:AB1775"/>
    <mergeCell ref="B716:AB716"/>
    <mergeCell ref="E1143:AB1143"/>
    <mergeCell ref="B17:AB17"/>
    <mergeCell ref="B288:D288"/>
    <mergeCell ref="B622:AB622"/>
    <mergeCell ref="E1503:AB1503"/>
    <mergeCell ref="B1051:AB1051"/>
    <mergeCell ref="B1374:AB1374"/>
    <mergeCell ref="B19:AB19"/>
    <mergeCell ref="B1349:AB1349"/>
    <mergeCell ref="B317:AB317"/>
    <mergeCell ref="E900:AB900"/>
    <mergeCell ref="B1708:AB1708"/>
    <mergeCell ref="B1105:AB1105"/>
    <mergeCell ref="B1403:AB1403"/>
    <mergeCell ref="B344:AB344"/>
    <mergeCell ref="B319:AB319"/>
    <mergeCell ref="E1206:AB1206"/>
    <mergeCell ref="B1832:AB1832"/>
    <mergeCell ref="B1405:AB1405"/>
    <mergeCell ref="B650:AB650"/>
    <mergeCell ref="E18:AB18"/>
    <mergeCell ref="B948:AB948"/>
    <mergeCell ref="B18:D18"/>
    <mergeCell ref="B1705:AB1705"/>
    <mergeCell ref="B789:AB789"/>
    <mergeCell ref="B764:AB764"/>
    <mergeCell ref="B248:AB248"/>
    <mergeCell ref="B1736:AB1736"/>
    <mergeCell ref="B975:AB975"/>
    <mergeCell ref="B342:D342"/>
    <mergeCell ref="B1133:AB1133"/>
    <mergeCell ref="B1404:D1404"/>
    <mergeCell ref="B1387:AB1387"/>
    <mergeCell ref="B1768:AB1768"/>
    <mergeCell ref="B1793:AB1793"/>
    <mergeCell ref="B723:AB723"/>
    <mergeCell ref="B1907:AB1907"/>
    <mergeCell ref="B873:D873"/>
    <mergeCell ref="B296:AB296"/>
    <mergeCell ref="B418:AB418"/>
    <mergeCell ref="B1664:AB1664"/>
    <mergeCell ref="B725:AB725"/>
    <mergeCell ref="B1778:AB1778"/>
    <mergeCell ref="B719:AB719"/>
    <mergeCell ref="B1023:AB1023"/>
    <mergeCell ref="E117:AB117"/>
    <mergeCell ref="B420:AB420"/>
    <mergeCell ref="E1485:AB1485"/>
    <mergeCell ref="B596:AB596"/>
    <mergeCell ref="B718:AB718"/>
    <mergeCell ref="B1025:AB1025"/>
    <mergeCell ref="B1690:AB1690"/>
    <mergeCell ref="B117:D117"/>
    <mergeCell ref="B291:AB291"/>
    <mergeCell ref="B1481:AB1481"/>
    <mergeCell ref="B1779:AB1779"/>
    <mergeCell ref="B293:AB293"/>
    <mergeCell ref="E288:AB288"/>
    <mergeCell ref="B322:AB322"/>
    <mergeCell ref="B1020:AB1020"/>
    <mergeCell ref="B1834:AB1834"/>
    <mergeCell ref="B1850:AB1850"/>
    <mergeCell ref="B670:AB670"/>
    <mergeCell ref="B1729:AB1729"/>
    <mergeCell ref="E1557:AB1557"/>
    <mergeCell ref="E45:AB45"/>
    <mergeCell ref="B348:AB348"/>
    <mergeCell ref="B652:AB652"/>
    <mergeCell ref="B1407:AB1407"/>
    <mergeCell ref="B1714:AB1714"/>
    <mergeCell ref="E1017:AB1017"/>
    <mergeCell ref="B45:D45"/>
    <mergeCell ref="B1409:AB1409"/>
    <mergeCell ref="B1292:AB1292"/>
    <mergeCell ref="B1707:AB1707"/>
    <mergeCell ref="B351:D351"/>
    <mergeCell ref="B774:D774"/>
    <mergeCell ref="B679:AB679"/>
    <mergeCell ref="B801:D801"/>
    <mergeCell ref="B581:AB581"/>
    <mergeCell ref="B1765:AB1765"/>
    <mergeCell ref="B1010:AB1010"/>
    <mergeCell ref="B276:AB276"/>
    <mergeCell ref="B583:AB583"/>
    <mergeCell ref="B881:AB881"/>
    <mergeCell ref="B1012:AB1012"/>
    <mergeCell ref="E432:AB432"/>
    <mergeCell ref="B1310:AB1310"/>
    <mergeCell ref="B278:AB278"/>
    <mergeCell ref="B1304:AB1304"/>
    <mergeCell ref="B1608:AB1608"/>
    <mergeCell ref="B707:AB707"/>
    <mergeCell ref="B1760:AB1760"/>
    <mergeCell ref="E702:AB702"/>
    <mergeCell ref="B883:AB883"/>
    <mergeCell ref="B1005:AB1005"/>
    <mergeCell ref="B1041:AB1041"/>
    <mergeCell ref="B183:AB183"/>
    <mergeCell ref="B938:AB938"/>
    <mergeCell ref="B1236:AB1236"/>
    <mergeCell ref="B177:AB177"/>
    <mergeCell ref="B335:AB335"/>
    <mergeCell ref="B1665:D1665"/>
    <mergeCell ref="B511:AB511"/>
    <mergeCell ref="B633:AB633"/>
    <mergeCell ref="B212:AB212"/>
    <mergeCell ref="B1238:AB1238"/>
    <mergeCell ref="B206:AB206"/>
    <mergeCell ref="B1396:AB1396"/>
    <mergeCell ref="B1694:AB1694"/>
    <mergeCell ref="B630:D630"/>
    <mergeCell ref="B1078:AB1078"/>
    <mergeCell ref="B1266:AB1266"/>
    <mergeCell ref="B1412:AB1412"/>
    <mergeCell ref="B353:AB353"/>
    <mergeCell ref="B651:AB651"/>
    <mergeCell ref="B1359:D1359"/>
    <mergeCell ref="B1325:AB1325"/>
    <mergeCell ref="B1378:AB1378"/>
    <mergeCell ref="B653:AB653"/>
    <mergeCell ref="B1589:AB1589"/>
    <mergeCell ref="B196:AB196"/>
    <mergeCell ref="B1109:AB1109"/>
    <mergeCell ref="B354:AB354"/>
    <mergeCell ref="E360:AB360"/>
    <mergeCell ref="B870:AB870"/>
    <mergeCell ref="B1339:AB1339"/>
    <mergeCell ref="B578:AB578"/>
    <mergeCell ref="B702:D702"/>
    <mergeCell ref="B111:AB111"/>
    <mergeCell ref="B1301:AB1301"/>
    <mergeCell ref="B986:AB986"/>
    <mergeCell ref="B559:AB559"/>
    <mergeCell ref="E1746:AB1746"/>
    <mergeCell ref="E108:AB108"/>
    <mergeCell ref="B569:AB569"/>
    <mergeCell ref="B525:AB525"/>
    <mergeCell ref="B867:AB867"/>
    <mergeCell ref="B1746:D1746"/>
    <mergeCell ref="B558:D558"/>
    <mergeCell ref="B556:AB556"/>
    <mergeCell ref="B1767:AB1767"/>
    <mergeCell ref="B251:AB251"/>
    <mergeCell ref="B864:D864"/>
    <mergeCell ref="B261:D261"/>
    <mergeCell ref="B1014:AB1014"/>
    <mergeCell ref="B280:AB280"/>
    <mergeCell ref="B1671:AB1671"/>
    <mergeCell ref="E1161:AB1161"/>
    <mergeCell ref="B587:AB587"/>
    <mergeCell ref="B193:AB193"/>
    <mergeCell ref="B885:AB885"/>
    <mergeCell ref="B1016:AB1016"/>
    <mergeCell ref="B1637:AB1637"/>
    <mergeCell ref="B920:AB920"/>
    <mergeCell ref="B580:AB580"/>
    <mergeCell ref="B1673:AB1673"/>
    <mergeCell ref="E279:AB279"/>
    <mergeCell ref="B279:D279"/>
    <mergeCell ref="B638:AB638"/>
    <mergeCell ref="B211:AB211"/>
    <mergeCell ref="B184:AB184"/>
    <mergeCell ref="B1643:AB1643"/>
    <mergeCell ref="B1035:D1035"/>
    <mergeCell ref="B179:AB179"/>
    <mergeCell ref="E252:AB252"/>
    <mergeCell ref="B967:AB967"/>
    <mergeCell ref="E639:AB639"/>
    <mergeCell ref="B1265:AB1265"/>
    <mergeCell ref="B510:AB510"/>
    <mergeCell ref="B546:AB546"/>
    <mergeCell ref="B1572:AB1572"/>
    <mergeCell ref="B844:AB844"/>
    <mergeCell ref="B838:AB838"/>
    <mergeCell ref="B1730:AB1730"/>
    <mergeCell ref="B1273:AB1273"/>
    <mergeCell ref="B1267:AB1267"/>
    <mergeCell ref="B1609:AB1609"/>
    <mergeCell ref="B1723:AB1723"/>
    <mergeCell ref="B666:D666"/>
    <mergeCell ref="B541:AB541"/>
    <mergeCell ref="B1567:AB1567"/>
    <mergeCell ref="B970:AB970"/>
    <mergeCell ref="B1422:D1422"/>
    <mergeCell ref="B985:AB985"/>
    <mergeCell ref="B572:AB572"/>
    <mergeCell ref="B1598:AB1598"/>
    <mergeCell ref="B995:AB995"/>
    <mergeCell ref="E990:AB990"/>
    <mergeCell ref="B1293:AB1293"/>
    <mergeCell ref="B259:AB259"/>
    <mergeCell ref="B872:AB872"/>
    <mergeCell ref="B866:AB866"/>
    <mergeCell ref="B11:AB11"/>
    <mergeCell ref="B903:AB903"/>
    <mergeCell ref="B1956:AB1956"/>
    <mergeCell ref="E594:AB594"/>
    <mergeCell ref="B1201:AB1201"/>
    <mergeCell ref="B1499:AB1499"/>
    <mergeCell ref="B440:AB440"/>
    <mergeCell ref="B598:AB598"/>
    <mergeCell ref="B1928:AB1928"/>
    <mergeCell ref="E1953:AB1953"/>
    <mergeCell ref="B1501:AB1501"/>
    <mergeCell ref="B1957:AB1957"/>
    <mergeCell ref="B900:D900"/>
    <mergeCell ref="B1350:D1350"/>
    <mergeCell ref="B158:AB158"/>
    <mergeCell ref="B316:AB316"/>
    <mergeCell ref="B929:AB929"/>
    <mergeCell ref="B1342:AB1342"/>
    <mergeCell ref="B614:AB614"/>
    <mergeCell ref="B1646:AB1646"/>
    <mergeCell ref="B1043:AB1043"/>
    <mergeCell ref="B1656:D1656"/>
    <mergeCell ref="B1219:AB1219"/>
    <mergeCell ref="B160:AB160"/>
    <mergeCell ref="B502:AB502"/>
    <mergeCell ref="B800:AB800"/>
    <mergeCell ref="B1675:AB1675"/>
    <mergeCell ref="B616:AB616"/>
    <mergeCell ref="B1254:AB1254"/>
    <mergeCell ref="B1946:AB1946"/>
    <mergeCell ref="B914:AB914"/>
    <mergeCell ref="E1224:AB1224"/>
    <mergeCell ref="B87:AB87"/>
    <mergeCell ref="B1600:AB1600"/>
    <mergeCell ref="B761:AB761"/>
    <mergeCell ref="B1271:AB1271"/>
    <mergeCell ref="B814:AB814"/>
    <mergeCell ref="B298:AB298"/>
    <mergeCell ref="B1488:AB1488"/>
    <mergeCell ref="B456:AB456"/>
    <mergeCell ref="E1179:AB1179"/>
    <mergeCell ref="B1786:AB1786"/>
    <mergeCell ref="B1179:D1179"/>
    <mergeCell ref="B1959:AB1959"/>
    <mergeCell ref="E882:AB882"/>
    <mergeCell ref="B1485:D1485"/>
    <mergeCell ref="B963:D963"/>
    <mergeCell ref="B138:AB138"/>
    <mergeCell ref="B882:D882"/>
    <mergeCell ref="B445:AB445"/>
    <mergeCell ref="B1200:AB1200"/>
    <mergeCell ref="B1504:AB1504"/>
    <mergeCell ref="B743:AB743"/>
    <mergeCell ref="B1935:D1935"/>
    <mergeCell ref="B1933:AB1933"/>
    <mergeCell ref="B1927:AB1927"/>
    <mergeCell ref="B901:AB901"/>
    <mergeCell ref="B1199:AB1199"/>
    <mergeCell ref="B140:AB140"/>
    <mergeCell ref="E1782:AB1782"/>
    <mergeCell ref="B1506:AB1506"/>
    <mergeCell ref="B1628:AB1628"/>
    <mergeCell ref="B1804:AB1804"/>
    <mergeCell ref="B1552:AB1552"/>
    <mergeCell ref="B847:AB847"/>
    <mergeCell ref="B1783:AB1783"/>
    <mergeCell ref="E1584:AB1584"/>
    <mergeCell ref="B244:AB244"/>
    <mergeCell ref="B1574:AB1574"/>
    <mergeCell ref="B542:AB542"/>
    <mergeCell ref="B425:AB425"/>
    <mergeCell ref="B495:D495"/>
    <mergeCell ref="B673:AB673"/>
    <mergeCell ref="B971:AB971"/>
    <mergeCell ref="B1785:AB1785"/>
    <mergeCell ref="B514:AB514"/>
    <mergeCell ref="B1943:AB1943"/>
    <mergeCell ref="B550:AB550"/>
    <mergeCell ref="B544:AB544"/>
    <mergeCell ref="B427:AB427"/>
    <mergeCell ref="B848:AB848"/>
    <mergeCell ref="B1486:AB1486"/>
    <mergeCell ref="B1588:AB1588"/>
    <mergeCell ref="B1343:AB1343"/>
    <mergeCell ref="B1131:AB1131"/>
    <mergeCell ref="E621:AB621"/>
    <mergeCell ref="B1641:AB1641"/>
    <mergeCell ref="B1214:AB1214"/>
    <mergeCell ref="B621:D621"/>
    <mergeCell ref="B1756:AB1756"/>
    <mergeCell ref="B1541:AB1541"/>
    <mergeCell ref="B1699:AB1699"/>
    <mergeCell ref="B640:AB640"/>
    <mergeCell ref="B300:AB300"/>
    <mergeCell ref="B1712:AB1712"/>
    <mergeCell ref="E1764:AB176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 &amp;A</oddHeader>
    <oddFooter>&amp;C&amp;"Times New Roman,Normal"&amp;12 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262"/>
  <sheetViews>
    <sheetView zoomScale="110" zoomScaleNormal="110" workbookViewId="0">
      <selection activeCell="A6" sqref="A6"/>
    </sheetView>
  </sheetViews>
  <sheetFormatPr defaultColWidth="8.85546875" defaultRowHeight="15" customHeight="1"/>
  <cols>
    <col min="1" max="1" width="20.7109375" style="38" customWidth="1"/>
    <col min="2" max="2" width="14.85546875" style="38" customWidth="1"/>
    <col min="3" max="3" width="8.85546875" style="38" customWidth="1"/>
    <col min="4" max="4" width="147" style="38" customWidth="1"/>
    <col min="5" max="5" width="8.85546875" style="38" customWidth="1"/>
    <col min="6" max="6" width="24.7109375" style="26" customWidth="1"/>
    <col min="7" max="7" width="12.5703125" style="26" customWidth="1"/>
    <col min="8" max="8" width="113.42578125" style="26" customWidth="1"/>
    <col min="9" max="9" width="8.85546875" style="38" customWidth="1"/>
    <col min="10" max="10" width="109.28515625" style="38" customWidth="1"/>
    <col min="11" max="11" width="8.85546875" style="38" customWidth="1"/>
    <col min="12" max="16384" width="8.85546875" style="38"/>
  </cols>
  <sheetData>
    <row r="2" spans="1:20">
      <c r="B2" s="39" t="s">
        <v>7</v>
      </c>
      <c r="D2" s="40" t="s">
        <v>56</v>
      </c>
      <c r="E2" s="41"/>
    </row>
    <row r="3" spans="1:20">
      <c r="B3" s="39" t="s">
        <v>57</v>
      </c>
      <c r="D3" s="42" t="s">
        <v>58</v>
      </c>
      <c r="F3" s="43" t="s">
        <v>11</v>
      </c>
      <c r="G3" s="44"/>
      <c r="H3" s="43" t="s">
        <v>12</v>
      </c>
      <c r="I3" s="45"/>
      <c r="J3" s="46" t="s">
        <v>13</v>
      </c>
      <c r="K3" s="45"/>
      <c r="L3" s="45"/>
      <c r="M3" s="45"/>
      <c r="N3" s="45"/>
      <c r="O3" s="45"/>
      <c r="P3" s="45"/>
      <c r="Q3" s="45"/>
      <c r="R3" s="45"/>
      <c r="S3" s="45"/>
      <c r="T3" s="45"/>
    </row>
    <row r="4" spans="1:20" ht="39.6" customHeight="1">
      <c r="D4" s="39" t="s">
        <v>59</v>
      </c>
      <c r="F4" s="64" t="s">
        <v>60</v>
      </c>
      <c r="H4" s="67" t="s">
        <v>61</v>
      </c>
      <c r="J4" s="61" t="s">
        <v>62</v>
      </c>
    </row>
    <row r="5" spans="1:20" ht="26.85" customHeight="1">
      <c r="D5" s="39" t="s">
        <v>63</v>
      </c>
      <c r="F5" s="64" t="s">
        <v>64</v>
      </c>
      <c r="H5" s="67" t="s">
        <v>65</v>
      </c>
      <c r="J5" s="61" t="s">
        <v>66</v>
      </c>
    </row>
    <row r="6" spans="1:20" ht="26.85" customHeight="1">
      <c r="D6" s="39" t="s">
        <v>67</v>
      </c>
      <c r="F6" s="64" t="s">
        <v>14</v>
      </c>
      <c r="H6" s="67" t="s">
        <v>68</v>
      </c>
      <c r="J6" s="61" t="s">
        <v>69</v>
      </c>
    </row>
    <row r="7" spans="1:20">
      <c r="D7" s="39" t="s">
        <v>70</v>
      </c>
      <c r="J7" s="61" t="s">
        <v>71</v>
      </c>
    </row>
    <row r="8" spans="1:20">
      <c r="D8" s="39" t="s">
        <v>72</v>
      </c>
      <c r="J8" s="61" t="s">
        <v>73</v>
      </c>
    </row>
    <row r="9" spans="1:20">
      <c r="D9" s="39" t="s">
        <v>74</v>
      </c>
      <c r="J9" s="61" t="s">
        <v>75</v>
      </c>
    </row>
    <row r="10" spans="1:20" ht="25.35" customHeight="1">
      <c r="A10" s="102" t="s">
        <v>76</v>
      </c>
      <c r="B10" s="111"/>
      <c r="D10" s="39" t="s">
        <v>77</v>
      </c>
      <c r="H10" s="43" t="s">
        <v>78</v>
      </c>
      <c r="I10" s="41"/>
      <c r="J10" s="61" t="s">
        <v>79</v>
      </c>
    </row>
    <row r="11" spans="1:20">
      <c r="A11" s="64" t="s">
        <v>80</v>
      </c>
      <c r="B11" s="47">
        <v>261.04000000000002</v>
      </c>
      <c r="D11" s="39" t="s">
        <v>81</v>
      </c>
      <c r="H11" s="48" t="s">
        <v>82</v>
      </c>
      <c r="J11" s="61" t="s">
        <v>83</v>
      </c>
    </row>
    <row r="12" spans="1:20">
      <c r="A12" s="64" t="s">
        <v>84</v>
      </c>
      <c r="B12" s="47">
        <v>239.32</v>
      </c>
      <c r="D12" s="39" t="s">
        <v>85</v>
      </c>
      <c r="H12" s="48" t="s">
        <v>86</v>
      </c>
      <c r="J12" s="61" t="s">
        <v>15</v>
      </c>
    </row>
    <row r="13" spans="1:20" ht="37.35" customHeight="1">
      <c r="A13" s="64" t="s">
        <v>87</v>
      </c>
      <c r="B13" s="47">
        <v>235.12</v>
      </c>
      <c r="D13" s="39" t="s">
        <v>88</v>
      </c>
      <c r="H13" s="48" t="s">
        <v>16</v>
      </c>
      <c r="J13" s="61" t="s">
        <v>89</v>
      </c>
    </row>
    <row r="14" spans="1:20" ht="25.35" customHeight="1">
      <c r="A14" s="64" t="s">
        <v>90</v>
      </c>
      <c r="B14" s="47">
        <v>231.74</v>
      </c>
      <c r="D14" s="39" t="s">
        <v>91</v>
      </c>
      <c r="H14" s="48" t="s">
        <v>92</v>
      </c>
      <c r="J14" s="61" t="s">
        <v>93</v>
      </c>
    </row>
    <row r="15" spans="1:20" ht="25.35" customHeight="1">
      <c r="A15" s="64" t="s">
        <v>94</v>
      </c>
      <c r="B15" s="47">
        <v>190.92</v>
      </c>
      <c r="D15" s="39" t="s">
        <v>95</v>
      </c>
      <c r="H15" s="48" t="s">
        <v>96</v>
      </c>
      <c r="J15" s="61" t="s">
        <v>97</v>
      </c>
    </row>
    <row r="16" spans="1:20">
      <c r="A16" s="64" t="s">
        <v>98</v>
      </c>
      <c r="B16" s="47">
        <v>172.32</v>
      </c>
      <c r="D16" s="39" t="s">
        <v>99</v>
      </c>
      <c r="H16" s="48" t="s">
        <v>100</v>
      </c>
      <c r="J16" s="61" t="s">
        <v>101</v>
      </c>
    </row>
    <row r="17" spans="1:10">
      <c r="A17" s="64" t="s">
        <v>102</v>
      </c>
      <c r="B17" s="47">
        <v>156.54</v>
      </c>
      <c r="D17" s="39" t="s">
        <v>103</v>
      </c>
      <c r="H17" s="48" t="s">
        <v>104</v>
      </c>
      <c r="J17" s="61" t="s">
        <v>105</v>
      </c>
    </row>
    <row r="18" spans="1:10">
      <c r="A18" s="64" t="s">
        <v>106</v>
      </c>
      <c r="B18" s="47">
        <v>152.88</v>
      </c>
      <c r="D18" s="39" t="s">
        <v>107</v>
      </c>
      <c r="J18" s="61" t="s">
        <v>108</v>
      </c>
    </row>
    <row r="19" spans="1:10">
      <c r="A19" s="64" t="s">
        <v>109</v>
      </c>
      <c r="B19" s="47">
        <v>128.94</v>
      </c>
      <c r="D19" s="39" t="s">
        <v>110</v>
      </c>
      <c r="J19" s="61" t="s">
        <v>111</v>
      </c>
    </row>
    <row r="20" spans="1:10">
      <c r="A20" s="64" t="s">
        <v>112</v>
      </c>
      <c r="B20" s="47">
        <v>114.6</v>
      </c>
      <c r="D20" s="39" t="s">
        <v>113</v>
      </c>
      <c r="J20" s="61" t="s">
        <v>114</v>
      </c>
    </row>
    <row r="21" spans="1:10">
      <c r="A21" s="64" t="s">
        <v>115</v>
      </c>
      <c r="B21" s="47">
        <v>99.7</v>
      </c>
      <c r="D21" s="39" t="s">
        <v>116</v>
      </c>
      <c r="J21" s="61" t="s">
        <v>117</v>
      </c>
    </row>
    <row r="22" spans="1:10">
      <c r="A22" s="64" t="s">
        <v>118</v>
      </c>
      <c r="B22" s="47">
        <v>79.94</v>
      </c>
      <c r="D22" s="39" t="s">
        <v>119</v>
      </c>
      <c r="J22" s="61" t="s">
        <v>120</v>
      </c>
    </row>
    <row r="23" spans="1:10">
      <c r="A23" s="64" t="s">
        <v>121</v>
      </c>
      <c r="B23" s="47">
        <v>27.88</v>
      </c>
      <c r="D23" s="39" t="s">
        <v>122</v>
      </c>
      <c r="J23" s="61" t="s">
        <v>123</v>
      </c>
    </row>
    <row r="24" spans="1:10">
      <c r="A24" s="64" t="s">
        <v>124</v>
      </c>
      <c r="B24" s="47">
        <v>54.9</v>
      </c>
      <c r="D24" s="39" t="s">
        <v>125</v>
      </c>
      <c r="J24" s="61" t="s">
        <v>126</v>
      </c>
    </row>
    <row r="25" spans="1:10">
      <c r="A25" s="64" t="s">
        <v>127</v>
      </c>
      <c r="B25" s="47">
        <v>36.880000000000003</v>
      </c>
      <c r="D25" s="39" t="s">
        <v>128</v>
      </c>
      <c r="J25" s="61" t="s">
        <v>129</v>
      </c>
    </row>
    <row r="26" spans="1:10">
      <c r="A26" s="64" t="s">
        <v>130</v>
      </c>
      <c r="B26" s="47">
        <v>22.54</v>
      </c>
      <c r="D26" s="39" t="s">
        <v>131</v>
      </c>
    </row>
    <row r="27" spans="1:10">
      <c r="D27" s="39" t="s">
        <v>132</v>
      </c>
    </row>
    <row r="28" spans="1:10">
      <c r="D28" s="39" t="s">
        <v>133</v>
      </c>
    </row>
    <row r="29" spans="1:10">
      <c r="D29" s="39" t="s">
        <v>134</v>
      </c>
    </row>
    <row r="30" spans="1:10">
      <c r="D30" s="39" t="s">
        <v>135</v>
      </c>
    </row>
    <row r="31" spans="1:10">
      <c r="D31" s="39" t="s">
        <v>136</v>
      </c>
    </row>
    <row r="32" spans="1:10">
      <c r="D32" s="39" t="s">
        <v>137</v>
      </c>
    </row>
    <row r="33" spans="4:4">
      <c r="D33" s="39" t="s">
        <v>138</v>
      </c>
    </row>
    <row r="34" spans="4:4">
      <c r="D34" s="39" t="s">
        <v>139</v>
      </c>
    </row>
    <row r="35" spans="4:4">
      <c r="D35" s="39" t="s">
        <v>140</v>
      </c>
    </row>
    <row r="36" spans="4:4">
      <c r="D36" s="39" t="s">
        <v>141</v>
      </c>
    </row>
    <row r="37" spans="4:4">
      <c r="D37" s="39" t="s">
        <v>142</v>
      </c>
    </row>
    <row r="38" spans="4:4">
      <c r="D38" s="39" t="s">
        <v>143</v>
      </c>
    </row>
    <row r="39" spans="4:4">
      <c r="D39" s="39" t="s">
        <v>144</v>
      </c>
    </row>
    <row r="40" spans="4:4">
      <c r="D40" s="39" t="s">
        <v>145</v>
      </c>
    </row>
    <row r="41" spans="4:4">
      <c r="D41" s="39" t="s">
        <v>146</v>
      </c>
    </row>
    <row r="42" spans="4:4">
      <c r="D42" s="39" t="s">
        <v>147</v>
      </c>
    </row>
    <row r="43" spans="4:4">
      <c r="D43" s="39" t="s">
        <v>148</v>
      </c>
    </row>
    <row r="44" spans="4:4">
      <c r="D44" s="39" t="s">
        <v>149</v>
      </c>
    </row>
    <row r="45" spans="4:4">
      <c r="D45" s="39" t="s">
        <v>150</v>
      </c>
    </row>
    <row r="46" spans="4:4">
      <c r="D46" s="39" t="s">
        <v>151</v>
      </c>
    </row>
    <row r="47" spans="4:4">
      <c r="D47" s="39" t="s">
        <v>152</v>
      </c>
    </row>
    <row r="48" spans="4:4">
      <c r="D48" s="39" t="s">
        <v>153</v>
      </c>
    </row>
    <row r="49" spans="4:4">
      <c r="D49" s="39" t="s">
        <v>154</v>
      </c>
    </row>
    <row r="50" spans="4:4">
      <c r="D50" s="39" t="s">
        <v>155</v>
      </c>
    </row>
    <row r="51" spans="4:4">
      <c r="D51" s="39" t="s">
        <v>156</v>
      </c>
    </row>
    <row r="52" spans="4:4">
      <c r="D52" s="39" t="s">
        <v>157</v>
      </c>
    </row>
    <row r="53" spans="4:4">
      <c r="D53" s="39" t="s">
        <v>158</v>
      </c>
    </row>
    <row r="54" spans="4:4">
      <c r="D54" s="39" t="s">
        <v>159</v>
      </c>
    </row>
    <row r="55" spans="4:4">
      <c r="D55" s="39" t="s">
        <v>160</v>
      </c>
    </row>
    <row r="56" spans="4:4">
      <c r="D56" s="39" t="s">
        <v>161</v>
      </c>
    </row>
    <row r="57" spans="4:4">
      <c r="D57" s="39" t="s">
        <v>162</v>
      </c>
    </row>
    <row r="58" spans="4:4">
      <c r="D58" s="39" t="s">
        <v>163</v>
      </c>
    </row>
    <row r="59" spans="4:4">
      <c r="D59" s="39" t="s">
        <v>164</v>
      </c>
    </row>
    <row r="60" spans="4:4">
      <c r="D60" s="39" t="s">
        <v>165</v>
      </c>
    </row>
    <row r="61" spans="4:4">
      <c r="D61" s="39" t="s">
        <v>166</v>
      </c>
    </row>
    <row r="62" spans="4:4">
      <c r="D62" s="39" t="s">
        <v>167</v>
      </c>
    </row>
    <row r="63" spans="4:4">
      <c r="D63" s="39" t="s">
        <v>168</v>
      </c>
    </row>
    <row r="64" spans="4:4">
      <c r="D64" s="39" t="s">
        <v>169</v>
      </c>
    </row>
    <row r="65" spans="4:4">
      <c r="D65" s="39" t="s">
        <v>170</v>
      </c>
    </row>
    <row r="66" spans="4:4">
      <c r="D66" s="39" t="s">
        <v>171</v>
      </c>
    </row>
    <row r="67" spans="4:4">
      <c r="D67" s="39" t="s">
        <v>172</v>
      </c>
    </row>
    <row r="68" spans="4:4">
      <c r="D68" s="39" t="s">
        <v>173</v>
      </c>
    </row>
    <row r="69" spans="4:4">
      <c r="D69" s="39" t="s">
        <v>174</v>
      </c>
    </row>
    <row r="70" spans="4:4">
      <c r="D70" s="39" t="s">
        <v>175</v>
      </c>
    </row>
    <row r="71" spans="4:4">
      <c r="D71" s="39" t="s">
        <v>176</v>
      </c>
    </row>
    <row r="72" spans="4:4">
      <c r="D72" s="39" t="s">
        <v>177</v>
      </c>
    </row>
    <row r="73" spans="4:4">
      <c r="D73" s="39" t="s">
        <v>178</v>
      </c>
    </row>
    <row r="74" spans="4:4">
      <c r="D74" s="39" t="s">
        <v>179</v>
      </c>
    </row>
    <row r="75" spans="4:4">
      <c r="D75" s="39" t="s">
        <v>180</v>
      </c>
    </row>
    <row r="76" spans="4:4">
      <c r="D76" s="39" t="s">
        <v>181</v>
      </c>
    </row>
    <row r="77" spans="4:4">
      <c r="D77" s="39" t="s">
        <v>182</v>
      </c>
    </row>
    <row r="78" spans="4:4">
      <c r="D78" s="39" t="s">
        <v>183</v>
      </c>
    </row>
    <row r="79" spans="4:4">
      <c r="D79" s="39" t="s">
        <v>184</v>
      </c>
    </row>
    <row r="80" spans="4:4">
      <c r="D80" s="39" t="s">
        <v>185</v>
      </c>
    </row>
    <row r="81" spans="4:4">
      <c r="D81" s="39" t="s">
        <v>186</v>
      </c>
    </row>
    <row r="82" spans="4:4">
      <c r="D82" s="39" t="s">
        <v>187</v>
      </c>
    </row>
    <row r="83" spans="4:4">
      <c r="D83" s="39" t="s">
        <v>188</v>
      </c>
    </row>
    <row r="84" spans="4:4">
      <c r="D84" s="39" t="s">
        <v>189</v>
      </c>
    </row>
    <row r="85" spans="4:4">
      <c r="D85" s="39" t="s">
        <v>190</v>
      </c>
    </row>
    <row r="86" spans="4:4">
      <c r="D86" s="39" t="s">
        <v>191</v>
      </c>
    </row>
    <row r="87" spans="4:4">
      <c r="D87" s="39" t="s">
        <v>192</v>
      </c>
    </row>
    <row r="88" spans="4:4">
      <c r="D88" s="39" t="s">
        <v>193</v>
      </c>
    </row>
    <row r="89" spans="4:4">
      <c r="D89" s="39" t="s">
        <v>194</v>
      </c>
    </row>
    <row r="90" spans="4:4">
      <c r="D90" s="39" t="s">
        <v>195</v>
      </c>
    </row>
    <row r="91" spans="4:4">
      <c r="D91" s="39" t="s">
        <v>196</v>
      </c>
    </row>
    <row r="92" spans="4:4">
      <c r="D92" s="39" t="s">
        <v>197</v>
      </c>
    </row>
    <row r="93" spans="4:4">
      <c r="D93" s="39" t="s">
        <v>198</v>
      </c>
    </row>
    <row r="94" spans="4:4">
      <c r="D94" s="39" t="s">
        <v>199</v>
      </c>
    </row>
    <row r="95" spans="4:4">
      <c r="D95" s="39" t="s">
        <v>200</v>
      </c>
    </row>
    <row r="96" spans="4:4">
      <c r="D96" s="39" t="s">
        <v>201</v>
      </c>
    </row>
    <row r="97" spans="4:4">
      <c r="D97" s="39" t="s">
        <v>202</v>
      </c>
    </row>
    <row r="98" spans="4:4">
      <c r="D98" s="39" t="s">
        <v>203</v>
      </c>
    </row>
    <row r="99" spans="4:4">
      <c r="D99" s="39" t="s">
        <v>204</v>
      </c>
    </row>
    <row r="100" spans="4:4">
      <c r="D100" s="39" t="s">
        <v>205</v>
      </c>
    </row>
    <row r="101" spans="4:4">
      <c r="D101" s="39" t="s">
        <v>206</v>
      </c>
    </row>
    <row r="102" spans="4:4">
      <c r="D102" s="39" t="s">
        <v>207</v>
      </c>
    </row>
    <row r="103" spans="4:4">
      <c r="D103" s="39" t="s">
        <v>208</v>
      </c>
    </row>
    <row r="104" spans="4:4">
      <c r="D104" s="39" t="s">
        <v>209</v>
      </c>
    </row>
    <row r="105" spans="4:4">
      <c r="D105" s="39" t="s">
        <v>210</v>
      </c>
    </row>
    <row r="106" spans="4:4">
      <c r="D106" s="39" t="s">
        <v>211</v>
      </c>
    </row>
    <row r="107" spans="4:4">
      <c r="D107" s="39" t="s">
        <v>212</v>
      </c>
    </row>
    <row r="108" spans="4:4">
      <c r="D108" s="39" t="s">
        <v>213</v>
      </c>
    </row>
    <row r="109" spans="4:4">
      <c r="D109" s="39" t="s">
        <v>214</v>
      </c>
    </row>
    <row r="110" spans="4:4">
      <c r="D110" s="39" t="s">
        <v>215</v>
      </c>
    </row>
    <row r="111" spans="4:4">
      <c r="D111" s="39" t="s">
        <v>216</v>
      </c>
    </row>
    <row r="112" spans="4:4">
      <c r="D112" s="39" t="s">
        <v>217</v>
      </c>
    </row>
    <row r="113" spans="4:4">
      <c r="D113" s="39" t="s">
        <v>218</v>
      </c>
    </row>
    <row r="114" spans="4:4">
      <c r="D114" s="39" t="s">
        <v>219</v>
      </c>
    </row>
    <row r="115" spans="4:4">
      <c r="D115" s="39" t="s">
        <v>220</v>
      </c>
    </row>
    <row r="116" spans="4:4">
      <c r="D116" s="39" t="s">
        <v>221</v>
      </c>
    </row>
    <row r="117" spans="4:4">
      <c r="D117" s="39" t="s">
        <v>222</v>
      </c>
    </row>
    <row r="118" spans="4:4">
      <c r="D118" s="39" t="s">
        <v>223</v>
      </c>
    </row>
    <row r="119" spans="4:4">
      <c r="D119" s="39" t="s">
        <v>224</v>
      </c>
    </row>
    <row r="120" spans="4:4">
      <c r="D120" s="39" t="s">
        <v>225</v>
      </c>
    </row>
    <row r="121" spans="4:4">
      <c r="D121" s="39" t="s">
        <v>226</v>
      </c>
    </row>
    <row r="122" spans="4:4">
      <c r="D122" s="39" t="s">
        <v>227</v>
      </c>
    </row>
    <row r="123" spans="4:4">
      <c r="D123" s="39" t="s">
        <v>228</v>
      </c>
    </row>
    <row r="124" spans="4:4">
      <c r="D124" s="39" t="s">
        <v>229</v>
      </c>
    </row>
    <row r="125" spans="4:4">
      <c r="D125" s="39" t="s">
        <v>230</v>
      </c>
    </row>
    <row r="126" spans="4:4">
      <c r="D126" s="39" t="s">
        <v>231</v>
      </c>
    </row>
    <row r="127" spans="4:4">
      <c r="D127" s="39" t="s">
        <v>232</v>
      </c>
    </row>
    <row r="128" spans="4:4">
      <c r="D128" s="39" t="s">
        <v>233</v>
      </c>
    </row>
    <row r="129" spans="4:4">
      <c r="D129" s="39" t="s">
        <v>234</v>
      </c>
    </row>
    <row r="130" spans="4:4">
      <c r="D130" s="39" t="s">
        <v>235</v>
      </c>
    </row>
    <row r="131" spans="4:4">
      <c r="D131" s="39" t="s">
        <v>236</v>
      </c>
    </row>
    <row r="132" spans="4:4">
      <c r="D132" s="39" t="s">
        <v>237</v>
      </c>
    </row>
    <row r="133" spans="4:4">
      <c r="D133" s="39" t="s">
        <v>238</v>
      </c>
    </row>
    <row r="134" spans="4:4">
      <c r="D134" s="39" t="s">
        <v>239</v>
      </c>
    </row>
    <row r="135" spans="4:4">
      <c r="D135" s="39" t="s">
        <v>240</v>
      </c>
    </row>
    <row r="136" spans="4:4">
      <c r="D136" s="39" t="s">
        <v>241</v>
      </c>
    </row>
    <row r="137" spans="4:4">
      <c r="D137" s="39" t="s">
        <v>242</v>
      </c>
    </row>
    <row r="138" spans="4:4">
      <c r="D138" s="39" t="s">
        <v>243</v>
      </c>
    </row>
    <row r="139" spans="4:4">
      <c r="D139" s="39" t="s">
        <v>244</v>
      </c>
    </row>
    <row r="140" spans="4:4">
      <c r="D140" s="39" t="s">
        <v>245</v>
      </c>
    </row>
    <row r="141" spans="4:4">
      <c r="D141" s="39" t="s">
        <v>246</v>
      </c>
    </row>
    <row r="142" spans="4:4">
      <c r="D142" s="39" t="s">
        <v>247</v>
      </c>
    </row>
    <row r="143" spans="4:4">
      <c r="D143" s="39" t="s">
        <v>248</v>
      </c>
    </row>
    <row r="144" spans="4:4">
      <c r="D144" s="39" t="s">
        <v>249</v>
      </c>
    </row>
    <row r="145" spans="4:4">
      <c r="D145" s="39" t="s">
        <v>250</v>
      </c>
    </row>
    <row r="146" spans="4:4">
      <c r="D146" s="39" t="s">
        <v>251</v>
      </c>
    </row>
    <row r="147" spans="4:4">
      <c r="D147" s="39" t="s">
        <v>252</v>
      </c>
    </row>
    <row r="148" spans="4:4">
      <c r="D148" s="39" t="s">
        <v>253</v>
      </c>
    </row>
    <row r="149" spans="4:4">
      <c r="D149" s="39" t="s">
        <v>254</v>
      </c>
    </row>
    <row r="150" spans="4:4">
      <c r="D150" s="39" t="s">
        <v>255</v>
      </c>
    </row>
    <row r="151" spans="4:4">
      <c r="D151" s="39" t="s">
        <v>256</v>
      </c>
    </row>
    <row r="152" spans="4:4">
      <c r="D152" s="39" t="s">
        <v>257</v>
      </c>
    </row>
    <row r="153" spans="4:4">
      <c r="D153" s="39" t="s">
        <v>258</v>
      </c>
    </row>
    <row r="154" spans="4:4">
      <c r="D154" s="39" t="s">
        <v>259</v>
      </c>
    </row>
    <row r="155" spans="4:4">
      <c r="D155" s="39" t="s">
        <v>260</v>
      </c>
    </row>
    <row r="156" spans="4:4">
      <c r="D156" s="39" t="s">
        <v>261</v>
      </c>
    </row>
    <row r="157" spans="4:4">
      <c r="D157" s="39" t="s">
        <v>262</v>
      </c>
    </row>
    <row r="158" spans="4:4">
      <c r="D158" s="39" t="s">
        <v>263</v>
      </c>
    </row>
    <row r="159" spans="4:4">
      <c r="D159" s="39" t="s">
        <v>264</v>
      </c>
    </row>
    <row r="160" spans="4:4">
      <c r="D160" s="39" t="s">
        <v>265</v>
      </c>
    </row>
    <row r="161" spans="4:4">
      <c r="D161" s="39" t="s">
        <v>266</v>
      </c>
    </row>
    <row r="162" spans="4:4" ht="15" customHeight="1">
      <c r="D162" s="39" t="s">
        <v>267</v>
      </c>
    </row>
    <row r="163" spans="4:4" ht="15" customHeight="1">
      <c r="D163" s="39" t="s">
        <v>268</v>
      </c>
    </row>
    <row r="164" spans="4:4" ht="15" customHeight="1">
      <c r="D164" s="39" t="s">
        <v>269</v>
      </c>
    </row>
    <row r="165" spans="4:4" ht="15" customHeight="1">
      <c r="D165" s="39" t="s">
        <v>270</v>
      </c>
    </row>
    <row r="166" spans="4:4" ht="15" customHeight="1">
      <c r="D166" s="39" t="s">
        <v>271</v>
      </c>
    </row>
    <row r="167" spans="4:4" ht="15" customHeight="1">
      <c r="D167" s="39" t="s">
        <v>272</v>
      </c>
    </row>
    <row r="168" spans="4:4" ht="15" customHeight="1">
      <c r="D168" s="39" t="s">
        <v>273</v>
      </c>
    </row>
    <row r="169" spans="4:4" ht="15" customHeight="1">
      <c r="D169" s="39" t="s">
        <v>274</v>
      </c>
    </row>
    <row r="170" spans="4:4" ht="15" customHeight="1">
      <c r="D170" s="39" t="s">
        <v>275</v>
      </c>
    </row>
    <row r="171" spans="4:4" ht="15" customHeight="1">
      <c r="D171" s="39" t="s">
        <v>276</v>
      </c>
    </row>
    <row r="172" spans="4:4" ht="15" customHeight="1">
      <c r="D172" s="39" t="s">
        <v>277</v>
      </c>
    </row>
    <row r="173" spans="4:4" ht="15" customHeight="1">
      <c r="D173" s="39" t="s">
        <v>278</v>
      </c>
    </row>
    <row r="174" spans="4:4" ht="15" customHeight="1">
      <c r="D174" s="39" t="s">
        <v>279</v>
      </c>
    </row>
    <row r="175" spans="4:4" ht="15" customHeight="1">
      <c r="D175" s="39" t="s">
        <v>280</v>
      </c>
    </row>
    <row r="176" spans="4:4" ht="15" customHeight="1">
      <c r="D176" s="39" t="s">
        <v>281</v>
      </c>
    </row>
    <row r="177" spans="4:4" ht="15" customHeight="1">
      <c r="D177" s="39" t="s">
        <v>282</v>
      </c>
    </row>
    <row r="178" spans="4:4" ht="15" customHeight="1">
      <c r="D178" s="39" t="s">
        <v>283</v>
      </c>
    </row>
    <row r="179" spans="4:4" ht="15" customHeight="1">
      <c r="D179" s="39" t="s">
        <v>284</v>
      </c>
    </row>
    <row r="180" spans="4:4" ht="15" customHeight="1">
      <c r="D180" s="39" t="s">
        <v>285</v>
      </c>
    </row>
    <row r="181" spans="4:4" ht="15" customHeight="1">
      <c r="D181" s="39" t="s">
        <v>286</v>
      </c>
    </row>
    <row r="182" spans="4:4" ht="15" customHeight="1">
      <c r="D182" s="39" t="s">
        <v>287</v>
      </c>
    </row>
    <row r="183" spans="4:4" ht="15" customHeight="1">
      <c r="D183" s="39" t="s">
        <v>288</v>
      </c>
    </row>
    <row r="184" spans="4:4" ht="15" customHeight="1">
      <c r="D184" s="39" t="s">
        <v>289</v>
      </c>
    </row>
    <row r="185" spans="4:4" ht="15" customHeight="1">
      <c r="D185" s="39" t="s">
        <v>290</v>
      </c>
    </row>
    <row r="186" spans="4:4" ht="15" customHeight="1">
      <c r="D186" s="39" t="s">
        <v>291</v>
      </c>
    </row>
    <row r="187" spans="4:4" ht="15" customHeight="1">
      <c r="D187" s="39" t="s">
        <v>292</v>
      </c>
    </row>
    <row r="188" spans="4:4" ht="15" customHeight="1">
      <c r="D188" s="39" t="s">
        <v>9</v>
      </c>
    </row>
    <row r="189" spans="4:4" ht="15" customHeight="1">
      <c r="D189" s="39" t="s">
        <v>293</v>
      </c>
    </row>
    <row r="190" spans="4:4" ht="15" customHeight="1">
      <c r="D190" s="39" t="s">
        <v>294</v>
      </c>
    </row>
    <row r="191" spans="4:4" ht="15" customHeight="1">
      <c r="D191" s="39" t="s">
        <v>295</v>
      </c>
    </row>
    <row r="192" spans="4:4" ht="15" customHeight="1">
      <c r="D192" s="39" t="s">
        <v>296</v>
      </c>
    </row>
    <row r="193" spans="4:4" ht="15" customHeight="1">
      <c r="D193" s="39" t="s">
        <v>297</v>
      </c>
    </row>
    <row r="194" spans="4:4" ht="15" customHeight="1">
      <c r="D194" s="39" t="s">
        <v>298</v>
      </c>
    </row>
    <row r="195" spans="4:4" ht="15" customHeight="1">
      <c r="D195" s="39" t="s">
        <v>299</v>
      </c>
    </row>
    <row r="196" spans="4:4" ht="15" customHeight="1">
      <c r="D196" s="39" t="s">
        <v>300</v>
      </c>
    </row>
    <row r="197" spans="4:4" ht="15" customHeight="1">
      <c r="D197" s="39" t="s">
        <v>301</v>
      </c>
    </row>
    <row r="198" spans="4:4" ht="15" customHeight="1">
      <c r="D198" s="39" t="s">
        <v>302</v>
      </c>
    </row>
    <row r="199" spans="4:4" ht="15" customHeight="1">
      <c r="D199" s="39" t="s">
        <v>303</v>
      </c>
    </row>
    <row r="200" spans="4:4" ht="15" customHeight="1">
      <c r="D200" s="39" t="s">
        <v>304</v>
      </c>
    </row>
    <row r="201" spans="4:4" ht="15" customHeight="1">
      <c r="D201" s="39" t="s">
        <v>305</v>
      </c>
    </row>
    <row r="202" spans="4:4" ht="15" customHeight="1">
      <c r="D202" s="39" t="s">
        <v>306</v>
      </c>
    </row>
    <row r="203" spans="4:4" ht="15" customHeight="1">
      <c r="D203" s="39" t="s">
        <v>307</v>
      </c>
    </row>
    <row r="204" spans="4:4" ht="15" customHeight="1">
      <c r="D204" s="39" t="s">
        <v>308</v>
      </c>
    </row>
    <row r="205" spans="4:4" ht="15" customHeight="1">
      <c r="D205" s="39" t="s">
        <v>309</v>
      </c>
    </row>
    <row r="206" spans="4:4" ht="15" customHeight="1">
      <c r="D206" s="39" t="s">
        <v>310</v>
      </c>
    </row>
    <row r="207" spans="4:4" ht="15" customHeight="1">
      <c r="D207" s="39" t="s">
        <v>311</v>
      </c>
    </row>
    <row r="208" spans="4:4" ht="15" customHeight="1">
      <c r="D208" s="39" t="s">
        <v>312</v>
      </c>
    </row>
    <row r="209" spans="4:4" ht="15" customHeight="1">
      <c r="D209" s="39" t="s">
        <v>313</v>
      </c>
    </row>
    <row r="210" spans="4:4" ht="15" customHeight="1">
      <c r="D210" s="39" t="s">
        <v>314</v>
      </c>
    </row>
    <row r="211" spans="4:4" ht="15" customHeight="1">
      <c r="D211" s="39" t="s">
        <v>315</v>
      </c>
    </row>
    <row r="212" spans="4:4" ht="15" customHeight="1">
      <c r="D212" s="39" t="s">
        <v>316</v>
      </c>
    </row>
    <row r="213" spans="4:4" ht="15" customHeight="1">
      <c r="D213" s="39" t="s">
        <v>317</v>
      </c>
    </row>
    <row r="214" spans="4:4" ht="15" customHeight="1">
      <c r="D214" s="39" t="s">
        <v>318</v>
      </c>
    </row>
    <row r="215" spans="4:4" ht="15" customHeight="1">
      <c r="D215" s="39" t="s">
        <v>319</v>
      </c>
    </row>
    <row r="216" spans="4:4" ht="15" customHeight="1">
      <c r="D216" s="39" t="s">
        <v>320</v>
      </c>
    </row>
    <row r="217" spans="4:4" ht="15" customHeight="1">
      <c r="D217" s="39" t="s">
        <v>321</v>
      </c>
    </row>
    <row r="218" spans="4:4" ht="15" customHeight="1">
      <c r="D218" s="39" t="s">
        <v>322</v>
      </c>
    </row>
    <row r="219" spans="4:4" ht="15" customHeight="1">
      <c r="D219" s="39" t="s">
        <v>323</v>
      </c>
    </row>
    <row r="220" spans="4:4" ht="15" customHeight="1">
      <c r="D220" s="39" t="s">
        <v>324</v>
      </c>
    </row>
    <row r="221" spans="4:4" ht="15" customHeight="1">
      <c r="D221" s="39" t="s">
        <v>325</v>
      </c>
    </row>
    <row r="222" spans="4:4" ht="15" customHeight="1">
      <c r="D222" s="39" t="s">
        <v>326</v>
      </c>
    </row>
    <row r="223" spans="4:4" ht="15" customHeight="1">
      <c r="D223" s="39" t="s">
        <v>327</v>
      </c>
    </row>
    <row r="224" spans="4:4" ht="15" customHeight="1">
      <c r="D224" s="39" t="s">
        <v>328</v>
      </c>
    </row>
    <row r="225" spans="4:4" ht="15" customHeight="1">
      <c r="D225" s="39" t="s">
        <v>329</v>
      </c>
    </row>
    <row r="226" spans="4:4" ht="15" customHeight="1">
      <c r="D226" s="39" t="s">
        <v>330</v>
      </c>
    </row>
    <row r="227" spans="4:4" ht="15" customHeight="1">
      <c r="D227" s="39" t="s">
        <v>331</v>
      </c>
    </row>
    <row r="228" spans="4:4" ht="15" customHeight="1">
      <c r="D228" s="39" t="s">
        <v>332</v>
      </c>
    </row>
    <row r="229" spans="4:4" ht="15" customHeight="1">
      <c r="D229" s="39" t="s">
        <v>333</v>
      </c>
    </row>
    <row r="230" spans="4:4" ht="15" customHeight="1">
      <c r="D230" s="39" t="s">
        <v>334</v>
      </c>
    </row>
    <row r="231" spans="4:4" ht="15" customHeight="1">
      <c r="D231" s="39" t="s">
        <v>335</v>
      </c>
    </row>
    <row r="232" spans="4:4" ht="15" customHeight="1">
      <c r="D232" s="39" t="s">
        <v>336</v>
      </c>
    </row>
    <row r="233" spans="4:4" ht="15" customHeight="1">
      <c r="D233" s="39" t="s">
        <v>337</v>
      </c>
    </row>
    <row r="234" spans="4:4" ht="15" customHeight="1">
      <c r="D234" s="39" t="s">
        <v>338</v>
      </c>
    </row>
    <row r="235" spans="4:4" ht="15" customHeight="1">
      <c r="D235" s="39" t="s">
        <v>339</v>
      </c>
    </row>
    <row r="236" spans="4:4" ht="15" customHeight="1">
      <c r="D236" s="39" t="s">
        <v>340</v>
      </c>
    </row>
    <row r="237" spans="4:4" ht="15" customHeight="1">
      <c r="D237" s="39" t="s">
        <v>341</v>
      </c>
    </row>
    <row r="238" spans="4:4" ht="15" customHeight="1">
      <c r="D238" s="39" t="s">
        <v>342</v>
      </c>
    </row>
    <row r="239" spans="4:4" ht="15" customHeight="1">
      <c r="D239" s="39" t="s">
        <v>343</v>
      </c>
    </row>
    <row r="240" spans="4:4" ht="15" customHeight="1">
      <c r="D240" s="39" t="s">
        <v>344</v>
      </c>
    </row>
    <row r="241" spans="4:4" ht="15" customHeight="1">
      <c r="D241" s="39" t="s">
        <v>345</v>
      </c>
    </row>
    <row r="242" spans="4:4" ht="15" customHeight="1">
      <c r="D242" s="39" t="s">
        <v>346</v>
      </c>
    </row>
    <row r="243" spans="4:4" ht="15" customHeight="1">
      <c r="D243" s="39" t="s">
        <v>347</v>
      </c>
    </row>
    <row r="244" spans="4:4" ht="15" customHeight="1">
      <c r="D244" s="39" t="s">
        <v>348</v>
      </c>
    </row>
    <row r="245" spans="4:4" ht="15" customHeight="1">
      <c r="D245" s="39" t="s">
        <v>349</v>
      </c>
    </row>
    <row r="246" spans="4:4" ht="15" customHeight="1">
      <c r="D246" s="39" t="s">
        <v>350</v>
      </c>
    </row>
    <row r="247" spans="4:4" ht="15" customHeight="1">
      <c r="D247" s="39" t="s">
        <v>351</v>
      </c>
    </row>
    <row r="248" spans="4:4" ht="15" customHeight="1">
      <c r="D248" s="39" t="s">
        <v>352</v>
      </c>
    </row>
    <row r="249" spans="4:4" ht="15" customHeight="1">
      <c r="D249" s="39" t="s">
        <v>353</v>
      </c>
    </row>
    <row r="250" spans="4:4" ht="15" customHeight="1">
      <c r="D250" s="39" t="s">
        <v>354</v>
      </c>
    </row>
    <row r="251" spans="4:4" ht="15" customHeight="1">
      <c r="D251" s="39" t="s">
        <v>355</v>
      </c>
    </row>
    <row r="252" spans="4:4" ht="15" customHeight="1">
      <c r="D252" s="39" t="s">
        <v>356</v>
      </c>
    </row>
    <row r="253" spans="4:4" ht="15" customHeight="1">
      <c r="D253" s="39" t="s">
        <v>357</v>
      </c>
    </row>
    <row r="254" spans="4:4" ht="15" customHeight="1">
      <c r="D254" s="39" t="s">
        <v>358</v>
      </c>
    </row>
    <row r="255" spans="4:4" ht="15" customHeight="1">
      <c r="D255" s="39" t="s">
        <v>359</v>
      </c>
    </row>
    <row r="256" spans="4:4" ht="15" customHeight="1">
      <c r="D256" s="39" t="s">
        <v>360</v>
      </c>
    </row>
    <row r="257" spans="4:4" ht="15" customHeight="1">
      <c r="D257" s="39" t="s">
        <v>361</v>
      </c>
    </row>
    <row r="258" spans="4:4" ht="15" customHeight="1">
      <c r="D258" s="39" t="s">
        <v>362</v>
      </c>
    </row>
    <row r="259" spans="4:4" ht="15" customHeight="1">
      <c r="D259" s="39" t="s">
        <v>363</v>
      </c>
    </row>
    <row r="260" spans="4:4" ht="15" customHeight="1">
      <c r="D260" s="39" t="s">
        <v>364</v>
      </c>
    </row>
    <row r="261" spans="4:4" ht="15" customHeight="1">
      <c r="D261" s="39" t="s">
        <v>365</v>
      </c>
    </row>
    <row r="262" spans="4:4" ht="15" customHeight="1">
      <c r="D262" s="39"/>
    </row>
  </sheetData>
  <autoFilter ref="D2:D261" xr:uid="{00000000-0009-0000-0000-000003000000}"/>
  <mergeCells count="1">
    <mergeCell ref="A10:B10"/>
  </mergeCells>
  <pageMargins left="0.70069444444444495" right="0.70069444444444495" top="0.75208333333333299" bottom="0.75208333333333299"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B14"/>
  <sheetViews>
    <sheetView zoomScale="110" zoomScaleNormal="110" workbookViewId="0">
      <selection activeCell="G16" sqref="G16"/>
    </sheetView>
  </sheetViews>
  <sheetFormatPr defaultColWidth="8.85546875" defaultRowHeight="15" customHeight="1"/>
  <cols>
    <col min="1" max="1" width="8.85546875" style="50" customWidth="1"/>
    <col min="2" max="16384" width="8.85546875" style="50"/>
  </cols>
  <sheetData>
    <row r="1" spans="2:2">
      <c r="B1" s="49" t="s">
        <v>366</v>
      </c>
    </row>
    <row r="2" spans="2:2">
      <c r="B2" s="50" t="s">
        <v>367</v>
      </c>
    </row>
    <row r="3" spans="2:2">
      <c r="B3" s="50" t="s">
        <v>368</v>
      </c>
    </row>
    <row r="4" spans="2:2">
      <c r="B4" s="50" t="s">
        <v>369</v>
      </c>
    </row>
    <row r="5" spans="2:2">
      <c r="B5" s="50" t="s">
        <v>370</v>
      </c>
    </row>
    <row r="6" spans="2:2"/>
    <row r="7" spans="2:2">
      <c r="B7" s="50" t="s">
        <v>371</v>
      </c>
    </row>
    <row r="9" spans="2:2">
      <c r="B9" s="49" t="s">
        <v>372</v>
      </c>
    </row>
    <row r="10" spans="2:2">
      <c r="B10" s="50" t="s">
        <v>373</v>
      </c>
    </row>
    <row r="11" spans="2:2">
      <c r="B11" s="50" t="s">
        <v>374</v>
      </c>
    </row>
    <row r="12" spans="2:2">
      <c r="B12" s="50" t="s">
        <v>369</v>
      </c>
    </row>
    <row r="13" spans="2:2" ht="13.35" customHeight="1">
      <c r="B13" s="50" t="s">
        <v>370</v>
      </c>
    </row>
    <row r="14" spans="2:2">
      <c r="B14" s="50" t="s">
        <v>375</v>
      </c>
    </row>
  </sheetData>
  <dataValidations count="1">
    <dataValidation operator="equal" allowBlank="1" showInputMessage="1" showErrorMessage="1" promptTitle="Descrição do Evento" prompt="Priorizar a descrição de atividade com os eventos pré autorizados no Adt BI CMS" sqref="B3 B11" xr:uid="{00000000-0002-0000-0400-000000000000}">
      <formula1>0</formula1>
      <formula2>0</formula2>
    </dataValidation>
  </dataValidations>
  <pageMargins left="0.70069444444444495" right="0.70069444444444495" top="0.75208333333333299" bottom="0.75208333333333299"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00"/>
  <sheetViews>
    <sheetView zoomScale="110" zoomScaleNormal="110" workbookViewId="0">
      <pane ySplit="1" topLeftCell="A2" activePane="bottomLeft" state="frozen"/>
      <selection pane="bottomLeft" activeCell="D2" sqref="D2"/>
    </sheetView>
  </sheetViews>
  <sheetFormatPr defaultColWidth="5.140625" defaultRowHeight="27.75" customHeight="1"/>
  <cols>
    <col min="1" max="1" width="6.42578125" style="51" customWidth="1"/>
    <col min="2" max="2" width="5.140625" style="52" customWidth="1"/>
    <col min="3" max="3" width="12.5703125" style="52" customWidth="1"/>
    <col min="4" max="8" width="5.140625" style="52" customWidth="1"/>
    <col min="9" max="52" width="5.140625" style="51" customWidth="1"/>
    <col min="53" max="53" width="5.140625" style="53" customWidth="1"/>
    <col min="54" max="16383" width="5.140625" style="52" customWidth="1"/>
    <col min="16384" max="16384" width="11.5703125" style="52" customWidth="1"/>
  </cols>
  <sheetData>
    <row r="1" spans="1:53" s="55" customFormat="1" ht="27.75" customHeight="1">
      <c r="A1" s="54" t="s">
        <v>376</v>
      </c>
      <c r="B1" s="54"/>
      <c r="C1" s="54" t="s">
        <v>377</v>
      </c>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3"/>
    </row>
    <row r="2" spans="1:53" ht="27.75" customHeight="1">
      <c r="A2" s="51">
        <v>1</v>
      </c>
      <c r="B2" s="51"/>
      <c r="C2" s="51" t="s">
        <v>378</v>
      </c>
      <c r="D2" s="51"/>
      <c r="E2" s="51"/>
      <c r="F2" s="51"/>
      <c r="G2" s="51"/>
      <c r="H2" s="51"/>
    </row>
    <row r="3" spans="1:53" ht="27.75" customHeight="1">
      <c r="A3" s="51">
        <v>2</v>
      </c>
      <c r="B3" s="51"/>
      <c r="C3" s="51" t="s">
        <v>379</v>
      </c>
      <c r="D3" s="51"/>
      <c r="E3" s="51"/>
      <c r="F3" s="51"/>
      <c r="G3" s="51"/>
      <c r="H3" s="51"/>
    </row>
    <row r="4" spans="1:53" ht="27.75" customHeight="1">
      <c r="A4" s="51">
        <v>3</v>
      </c>
      <c r="B4" s="51"/>
      <c r="C4" s="51" t="s">
        <v>380</v>
      </c>
      <c r="D4" s="51"/>
      <c r="E4" s="51"/>
      <c r="F4" s="51"/>
      <c r="G4" s="51"/>
      <c r="H4" s="51"/>
    </row>
    <row r="5" spans="1:53" ht="27.75" customHeight="1">
      <c r="A5" s="51">
        <v>4</v>
      </c>
      <c r="B5" s="51"/>
      <c r="C5" s="51" t="s">
        <v>381</v>
      </c>
      <c r="D5" s="51"/>
      <c r="E5" s="51"/>
      <c r="F5" s="51"/>
      <c r="G5" s="51"/>
      <c r="H5" s="51"/>
    </row>
    <row r="6" spans="1:53" ht="27.75" customHeight="1">
      <c r="A6" s="51">
        <v>5</v>
      </c>
      <c r="B6" s="51"/>
      <c r="C6" s="51" t="s">
        <v>382</v>
      </c>
      <c r="D6" s="51"/>
      <c r="E6" s="51"/>
      <c r="F6" s="51"/>
      <c r="G6" s="51"/>
      <c r="H6" s="51"/>
    </row>
    <row r="7" spans="1:53" ht="27.75" customHeight="1">
      <c r="A7" s="51">
        <v>6</v>
      </c>
      <c r="B7" s="51"/>
      <c r="C7" s="51" t="s">
        <v>383</v>
      </c>
      <c r="D7" s="51"/>
      <c r="E7" s="51"/>
      <c r="F7" s="51"/>
      <c r="G7" s="51"/>
      <c r="H7" s="51"/>
    </row>
    <row r="8" spans="1:53" ht="27.75" customHeight="1">
      <c r="A8" s="51">
        <v>7</v>
      </c>
      <c r="B8" s="51"/>
      <c r="C8" s="51" t="s">
        <v>384</v>
      </c>
      <c r="D8" s="51"/>
      <c r="E8" s="51"/>
      <c r="F8" s="51"/>
      <c r="G8" s="51"/>
      <c r="H8" s="51"/>
    </row>
    <row r="9" spans="1:53" ht="27.75" customHeight="1">
      <c r="A9" s="51">
        <v>8</v>
      </c>
      <c r="B9" s="51"/>
      <c r="C9" s="52" t="s">
        <v>385</v>
      </c>
      <c r="D9" s="51"/>
      <c r="E9" s="51"/>
      <c r="F9" s="51"/>
      <c r="G9" s="51"/>
      <c r="H9" s="51"/>
    </row>
    <row r="10" spans="1:53" ht="27.75" customHeight="1">
      <c r="A10" s="51">
        <v>9</v>
      </c>
      <c r="B10" s="51"/>
      <c r="C10" s="51" t="s">
        <v>386</v>
      </c>
      <c r="E10" s="51"/>
      <c r="F10" s="51"/>
      <c r="G10" s="51"/>
      <c r="H10" s="51"/>
    </row>
    <row r="11" spans="1:53" ht="27.75" customHeight="1">
      <c r="A11" s="51">
        <v>10</v>
      </c>
      <c r="B11" s="51"/>
      <c r="C11" s="51" t="s">
        <v>387</v>
      </c>
      <c r="D11" s="51"/>
      <c r="E11" s="51"/>
      <c r="F11" s="51"/>
      <c r="G11" s="51"/>
      <c r="H11" s="51"/>
    </row>
    <row r="12" spans="1:53" ht="27.75" customHeight="1">
      <c r="A12" s="51">
        <v>11</v>
      </c>
      <c r="B12" s="51"/>
      <c r="C12" s="51" t="s">
        <v>388</v>
      </c>
      <c r="D12" s="51"/>
      <c r="E12" s="51"/>
      <c r="F12" s="51"/>
      <c r="G12" s="51"/>
      <c r="H12" s="51"/>
    </row>
    <row r="13" spans="1:53" ht="27.75" customHeight="1">
      <c r="A13" s="51">
        <v>12</v>
      </c>
      <c r="B13" s="51"/>
      <c r="C13" s="51" t="s">
        <v>389</v>
      </c>
      <c r="D13" s="51"/>
      <c r="E13" s="51"/>
      <c r="F13" s="51"/>
      <c r="G13" s="51"/>
      <c r="H13" s="51"/>
    </row>
    <row r="14" spans="1:53" ht="27.75" customHeight="1">
      <c r="A14" s="51">
        <v>13</v>
      </c>
      <c r="B14" s="51"/>
      <c r="C14" s="51" t="s">
        <v>390</v>
      </c>
      <c r="D14" s="51"/>
      <c r="E14" s="51"/>
      <c r="F14" s="51"/>
      <c r="G14" s="51"/>
      <c r="H14" s="51"/>
    </row>
    <row r="15" spans="1:53" ht="27.75" customHeight="1">
      <c r="A15" s="51">
        <v>14</v>
      </c>
      <c r="B15" s="51"/>
      <c r="C15" s="51" t="s">
        <v>391</v>
      </c>
      <c r="D15" s="51"/>
      <c r="E15" s="51"/>
      <c r="F15" s="51"/>
      <c r="G15" s="51"/>
      <c r="H15" s="51"/>
    </row>
    <row r="16" spans="1:53" ht="27.75" customHeight="1">
      <c r="A16" s="51">
        <v>15</v>
      </c>
      <c r="B16" s="51"/>
      <c r="C16" s="51" t="s">
        <v>392</v>
      </c>
      <c r="D16" s="51"/>
      <c r="E16" s="51"/>
      <c r="F16" s="51"/>
      <c r="G16" s="51"/>
      <c r="H16" s="51"/>
    </row>
    <row r="17" spans="1:8" ht="27.75" customHeight="1">
      <c r="A17" s="51">
        <v>16</v>
      </c>
      <c r="B17" s="51"/>
      <c r="C17" s="51" t="s">
        <v>393</v>
      </c>
      <c r="D17" s="51"/>
      <c r="E17" s="51"/>
      <c r="F17" s="51"/>
      <c r="G17" s="51"/>
      <c r="H17" s="51"/>
    </row>
    <row r="18" spans="1:8" ht="27.75" customHeight="1">
      <c r="A18" s="51">
        <v>17</v>
      </c>
      <c r="B18" s="51"/>
      <c r="C18" s="51" t="s">
        <v>394</v>
      </c>
      <c r="D18" s="51"/>
      <c r="E18" s="51"/>
      <c r="F18" s="51"/>
      <c r="G18" s="51"/>
      <c r="H18" s="51"/>
    </row>
    <row r="19" spans="1:8" ht="27.75" customHeight="1">
      <c r="A19" s="51">
        <v>18</v>
      </c>
      <c r="B19" s="51"/>
      <c r="C19" s="51" t="s">
        <v>395</v>
      </c>
      <c r="D19" s="51"/>
      <c r="E19" s="51"/>
      <c r="F19" s="51"/>
      <c r="G19" s="51"/>
      <c r="H19" s="51"/>
    </row>
    <row r="20" spans="1:8" ht="27.75" customHeight="1">
      <c r="A20" s="51">
        <v>19</v>
      </c>
      <c r="B20" s="51"/>
      <c r="C20" s="51" t="s">
        <v>396</v>
      </c>
      <c r="D20" s="51"/>
      <c r="E20" s="51"/>
      <c r="F20" s="51"/>
      <c r="G20" s="51"/>
      <c r="H20" s="51"/>
    </row>
    <row r="21" spans="1:8" ht="27.75" customHeight="1">
      <c r="A21" s="51">
        <v>20</v>
      </c>
      <c r="B21" s="51"/>
      <c r="C21" s="51" t="s">
        <v>397</v>
      </c>
      <c r="D21" s="51"/>
      <c r="E21" s="51"/>
      <c r="F21" s="51"/>
      <c r="G21" s="51"/>
      <c r="H21" s="51"/>
    </row>
    <row r="22" spans="1:8" ht="27.75" customHeight="1">
      <c r="A22" s="51">
        <v>21</v>
      </c>
      <c r="B22" s="51"/>
      <c r="C22" s="51" t="s">
        <v>398</v>
      </c>
      <c r="D22" s="51"/>
      <c r="E22" s="51"/>
      <c r="F22" s="51"/>
      <c r="G22" s="51"/>
      <c r="H22" s="51"/>
    </row>
    <row r="23" spans="1:8" ht="27.75" customHeight="1">
      <c r="A23" s="51">
        <v>22</v>
      </c>
      <c r="B23" s="51"/>
      <c r="C23" s="51" t="s">
        <v>399</v>
      </c>
      <c r="D23" s="51"/>
      <c r="E23" s="51"/>
      <c r="F23" s="51"/>
      <c r="G23" s="51"/>
      <c r="H23" s="51"/>
    </row>
    <row r="24" spans="1:8" ht="27.75" customHeight="1">
      <c r="A24" s="51">
        <v>23</v>
      </c>
      <c r="B24" s="51"/>
      <c r="C24" s="51" t="s">
        <v>400</v>
      </c>
      <c r="D24" s="51"/>
      <c r="E24" s="51"/>
      <c r="F24" s="51"/>
      <c r="G24" s="51"/>
      <c r="H24" s="51"/>
    </row>
    <row r="25" spans="1:8" ht="27.75" customHeight="1">
      <c r="A25" s="51">
        <v>24</v>
      </c>
      <c r="B25" s="51"/>
      <c r="C25" s="51" t="s">
        <v>401</v>
      </c>
      <c r="D25" s="51"/>
      <c r="E25" s="51"/>
      <c r="F25" s="51"/>
      <c r="G25" s="51"/>
      <c r="H25" s="51"/>
    </row>
    <row r="26" spans="1:8" ht="27.75" customHeight="1">
      <c r="A26" s="51">
        <v>25</v>
      </c>
      <c r="B26" s="51"/>
      <c r="C26" s="51" t="s">
        <v>402</v>
      </c>
      <c r="D26" s="51"/>
      <c r="E26" s="51"/>
      <c r="F26" s="51"/>
      <c r="G26" s="51"/>
      <c r="H26" s="51"/>
    </row>
    <row r="27" spans="1:8" ht="27.75" customHeight="1">
      <c r="A27" s="51">
        <v>26</v>
      </c>
      <c r="B27" s="51"/>
      <c r="C27" s="51" t="s">
        <v>403</v>
      </c>
      <c r="D27" s="51"/>
      <c r="E27" s="51"/>
      <c r="F27" s="51"/>
      <c r="G27" s="51"/>
      <c r="H27" s="51"/>
    </row>
    <row r="28" spans="1:8" ht="27.75" customHeight="1">
      <c r="A28" s="51">
        <v>27</v>
      </c>
      <c r="B28" s="51"/>
      <c r="C28" s="51" t="s">
        <v>404</v>
      </c>
      <c r="D28" s="51"/>
      <c r="E28" s="51"/>
      <c r="F28" s="51"/>
      <c r="G28" s="51"/>
      <c r="H28" s="51"/>
    </row>
    <row r="29" spans="1:8" ht="27.75" customHeight="1">
      <c r="A29" s="51">
        <v>28</v>
      </c>
      <c r="B29" s="51"/>
      <c r="C29" s="51" t="s">
        <v>405</v>
      </c>
      <c r="D29" s="51"/>
      <c r="E29" s="51"/>
      <c r="F29" s="51"/>
      <c r="G29" s="51"/>
      <c r="H29" s="51"/>
    </row>
    <row r="30" spans="1:8" ht="27.75" customHeight="1">
      <c r="A30" s="51">
        <v>29</v>
      </c>
      <c r="B30" s="51"/>
      <c r="C30" s="51" t="s">
        <v>406</v>
      </c>
      <c r="D30" s="51"/>
      <c r="E30" s="51"/>
      <c r="F30" s="51"/>
      <c r="G30" s="51"/>
      <c r="H30" s="51"/>
    </row>
    <row r="31" spans="1:8" ht="27.75" customHeight="1">
      <c r="A31" s="51">
        <v>30</v>
      </c>
      <c r="B31" s="51"/>
      <c r="C31" s="51" t="s">
        <v>407</v>
      </c>
      <c r="D31" s="51"/>
      <c r="E31" s="51"/>
      <c r="F31" s="51"/>
      <c r="G31" s="51"/>
      <c r="H31" s="51"/>
    </row>
    <row r="32" spans="1:8" ht="27.75" customHeight="1">
      <c r="A32" s="51">
        <v>31</v>
      </c>
      <c r="B32" s="51"/>
      <c r="C32" s="51" t="s">
        <v>408</v>
      </c>
      <c r="D32" s="51"/>
      <c r="E32" s="51"/>
      <c r="F32" s="51"/>
      <c r="G32" s="51"/>
      <c r="H32" s="51"/>
    </row>
    <row r="33" spans="1:8" ht="27.75" customHeight="1">
      <c r="A33" s="51">
        <v>32</v>
      </c>
      <c r="B33" s="51"/>
      <c r="C33" s="51" t="s">
        <v>409</v>
      </c>
      <c r="D33" s="51"/>
      <c r="E33" s="51"/>
      <c r="F33" s="51"/>
      <c r="G33" s="51"/>
      <c r="H33" s="51"/>
    </row>
    <row r="34" spans="1:8" ht="27.75" customHeight="1">
      <c r="A34" s="51">
        <v>33</v>
      </c>
      <c r="B34" s="51"/>
      <c r="C34" s="51" t="s">
        <v>410</v>
      </c>
      <c r="D34" s="51"/>
      <c r="E34" s="51"/>
      <c r="F34" s="51"/>
      <c r="G34" s="51"/>
      <c r="H34" s="51"/>
    </row>
    <row r="35" spans="1:8" ht="27.75" customHeight="1">
      <c r="A35" s="51">
        <v>34</v>
      </c>
      <c r="B35" s="51"/>
      <c r="C35" s="51" t="s">
        <v>411</v>
      </c>
      <c r="D35" s="51"/>
      <c r="E35" s="51"/>
      <c r="F35" s="51"/>
      <c r="G35" s="51"/>
      <c r="H35" s="51"/>
    </row>
    <row r="36" spans="1:8" ht="27.75" customHeight="1">
      <c r="A36" s="51">
        <v>35</v>
      </c>
      <c r="B36" s="51"/>
      <c r="C36" s="51" t="s">
        <v>412</v>
      </c>
      <c r="D36" s="51"/>
      <c r="E36" s="51"/>
      <c r="F36" s="51"/>
      <c r="G36" s="51"/>
      <c r="H36" s="51"/>
    </row>
    <row r="37" spans="1:8" ht="27.75" customHeight="1">
      <c r="A37" s="51">
        <v>36</v>
      </c>
      <c r="B37" s="51"/>
      <c r="C37" s="51" t="s">
        <v>413</v>
      </c>
      <c r="D37" s="51"/>
      <c r="E37" s="51"/>
      <c r="F37" s="51"/>
      <c r="G37" s="51"/>
      <c r="H37" s="51"/>
    </row>
    <row r="38" spans="1:8" ht="27.75" customHeight="1">
      <c r="A38" s="51">
        <v>37</v>
      </c>
      <c r="B38" s="51"/>
      <c r="C38" s="51" t="s">
        <v>414</v>
      </c>
      <c r="D38" s="51"/>
      <c r="E38" s="51"/>
      <c r="F38" s="51"/>
      <c r="G38" s="51"/>
      <c r="H38" s="51"/>
    </row>
    <row r="39" spans="1:8" ht="27.75" customHeight="1">
      <c r="A39" s="51">
        <v>38</v>
      </c>
      <c r="B39" s="51"/>
      <c r="C39" s="51" t="s">
        <v>415</v>
      </c>
      <c r="D39" s="51"/>
      <c r="E39" s="51"/>
      <c r="F39" s="51"/>
      <c r="G39" s="51"/>
      <c r="H39" s="51"/>
    </row>
    <row r="40" spans="1:8" ht="27.75" customHeight="1">
      <c r="A40" s="51">
        <v>39</v>
      </c>
      <c r="B40" s="51"/>
      <c r="C40" s="51" t="s">
        <v>416</v>
      </c>
      <c r="D40" s="51"/>
      <c r="E40" s="51"/>
      <c r="F40" s="51"/>
      <c r="G40" s="51"/>
      <c r="H40" s="51"/>
    </row>
    <row r="41" spans="1:8" ht="27.75" customHeight="1">
      <c r="A41" s="51">
        <v>40</v>
      </c>
      <c r="B41" s="51"/>
      <c r="C41" s="51" t="s">
        <v>417</v>
      </c>
      <c r="D41" s="51"/>
      <c r="E41" s="51"/>
      <c r="F41" s="51"/>
      <c r="G41" s="51"/>
      <c r="H41" s="51"/>
    </row>
    <row r="42" spans="1:8" ht="27.75" customHeight="1">
      <c r="A42" s="51">
        <v>41</v>
      </c>
      <c r="B42" s="51"/>
      <c r="C42" s="51" t="s">
        <v>418</v>
      </c>
      <c r="D42" s="51"/>
      <c r="E42" s="51"/>
      <c r="F42" s="51"/>
      <c r="G42" s="51"/>
      <c r="H42" s="51"/>
    </row>
    <row r="43" spans="1:8" ht="27.75" customHeight="1">
      <c r="A43" s="51">
        <v>42</v>
      </c>
      <c r="B43" s="51"/>
      <c r="C43" s="51" t="s">
        <v>419</v>
      </c>
      <c r="D43" s="51"/>
      <c r="E43" s="51"/>
      <c r="F43" s="51"/>
      <c r="G43" s="51"/>
      <c r="H43" s="51"/>
    </row>
    <row r="44" spans="1:8" ht="27.75" customHeight="1">
      <c r="A44" s="51">
        <v>43</v>
      </c>
      <c r="B44" s="51"/>
      <c r="C44" s="51" t="s">
        <v>420</v>
      </c>
      <c r="D44" s="51"/>
      <c r="E44" s="51"/>
      <c r="F44" s="51"/>
      <c r="G44" s="51"/>
      <c r="H44" s="51"/>
    </row>
    <row r="45" spans="1:8" ht="27.75" customHeight="1">
      <c r="A45" s="51">
        <v>44</v>
      </c>
      <c r="B45" s="51"/>
      <c r="C45" s="51"/>
      <c r="D45" s="51"/>
      <c r="E45" s="51"/>
      <c r="F45" s="51"/>
      <c r="G45" s="51"/>
      <c r="H45" s="51"/>
    </row>
    <row r="46" spans="1:8" ht="27.75" customHeight="1">
      <c r="A46" s="51">
        <v>45</v>
      </c>
      <c r="B46" s="51"/>
      <c r="C46" s="51"/>
      <c r="D46" s="51"/>
      <c r="E46" s="51"/>
      <c r="F46" s="51"/>
      <c r="G46" s="51"/>
      <c r="H46" s="51"/>
    </row>
    <row r="47" spans="1:8" ht="27.75" customHeight="1">
      <c r="A47" s="51">
        <v>46</v>
      </c>
      <c r="B47" s="51"/>
      <c r="C47" s="51"/>
      <c r="D47" s="51"/>
      <c r="E47" s="51"/>
      <c r="F47" s="51"/>
      <c r="G47" s="51"/>
      <c r="H47" s="51"/>
    </row>
    <row r="48" spans="1:8" ht="27.75" customHeight="1">
      <c r="A48" s="51">
        <v>47</v>
      </c>
      <c r="B48" s="51"/>
      <c r="C48" s="51"/>
      <c r="D48" s="51"/>
      <c r="E48" s="51"/>
      <c r="F48" s="51"/>
      <c r="G48" s="51"/>
      <c r="H48" s="51"/>
    </row>
    <row r="49" spans="1:8" ht="27.75" customHeight="1">
      <c r="A49" s="51">
        <v>48</v>
      </c>
      <c r="B49" s="51"/>
      <c r="C49" s="51"/>
      <c r="D49" s="51"/>
      <c r="E49" s="51"/>
      <c r="F49" s="51"/>
      <c r="G49" s="51"/>
      <c r="H49" s="51"/>
    </row>
    <row r="50" spans="1:8" ht="27.75" customHeight="1">
      <c r="A50" s="51">
        <v>49</v>
      </c>
      <c r="B50" s="51"/>
      <c r="C50" s="51"/>
      <c r="D50" s="51"/>
      <c r="E50" s="51"/>
      <c r="F50" s="51"/>
      <c r="G50" s="51"/>
      <c r="H50" s="51"/>
    </row>
    <row r="51" spans="1:8" ht="27.75" customHeight="1">
      <c r="A51" s="51">
        <v>50</v>
      </c>
      <c r="B51" s="51"/>
      <c r="C51" s="51"/>
      <c r="D51" s="51"/>
      <c r="E51" s="51"/>
      <c r="F51" s="51"/>
      <c r="G51" s="51"/>
      <c r="H51" s="51"/>
    </row>
    <row r="52" spans="1:8" ht="27.75" customHeight="1">
      <c r="A52" s="51">
        <v>51</v>
      </c>
      <c r="B52" s="51"/>
      <c r="C52" s="51"/>
      <c r="D52" s="51"/>
      <c r="E52" s="51"/>
      <c r="F52" s="51"/>
      <c r="G52" s="51"/>
      <c r="H52" s="51"/>
    </row>
    <row r="53" spans="1:8" ht="27.75" customHeight="1">
      <c r="A53" s="51">
        <v>52</v>
      </c>
      <c r="B53" s="51"/>
      <c r="C53" s="51"/>
      <c r="D53" s="51"/>
      <c r="E53" s="51"/>
      <c r="F53" s="51"/>
      <c r="G53" s="51"/>
      <c r="H53" s="51"/>
    </row>
    <row r="54" spans="1:8" ht="27.75" customHeight="1">
      <c r="A54" s="51">
        <v>53</v>
      </c>
      <c r="B54" s="51"/>
      <c r="C54" s="51"/>
      <c r="D54" s="51"/>
      <c r="E54" s="51"/>
      <c r="F54" s="51"/>
      <c r="G54" s="51"/>
      <c r="H54" s="51"/>
    </row>
    <row r="55" spans="1:8" ht="27.75" customHeight="1">
      <c r="A55" s="51">
        <v>54</v>
      </c>
      <c r="B55" s="51"/>
      <c r="C55" s="51"/>
      <c r="D55" s="51"/>
      <c r="E55" s="51"/>
      <c r="F55" s="51"/>
      <c r="G55" s="51"/>
      <c r="H55" s="51"/>
    </row>
    <row r="56" spans="1:8" ht="27.75" customHeight="1">
      <c r="A56" s="51">
        <v>55</v>
      </c>
      <c r="B56" s="51"/>
      <c r="C56" s="51"/>
      <c r="D56" s="51"/>
      <c r="E56" s="51"/>
      <c r="F56" s="51"/>
      <c r="G56" s="51"/>
      <c r="H56" s="51"/>
    </row>
    <row r="57" spans="1:8" ht="27.75" customHeight="1">
      <c r="A57" s="51">
        <v>56</v>
      </c>
      <c r="B57" s="51"/>
      <c r="C57" s="51"/>
      <c r="D57" s="51"/>
      <c r="E57" s="51"/>
      <c r="F57" s="51"/>
      <c r="G57" s="51"/>
      <c r="H57" s="51"/>
    </row>
    <row r="58" spans="1:8" ht="27.75" customHeight="1">
      <c r="A58" s="51">
        <v>57</v>
      </c>
      <c r="B58" s="51"/>
      <c r="C58" s="51"/>
      <c r="D58" s="51"/>
      <c r="E58" s="51"/>
      <c r="F58" s="51"/>
      <c r="G58" s="51"/>
      <c r="H58" s="51"/>
    </row>
    <row r="59" spans="1:8" ht="27.75" customHeight="1">
      <c r="A59" s="51">
        <v>58</v>
      </c>
      <c r="B59" s="51"/>
      <c r="C59" s="51"/>
      <c r="D59" s="51"/>
      <c r="E59" s="51"/>
      <c r="F59" s="51"/>
      <c r="G59" s="51"/>
      <c r="H59" s="51"/>
    </row>
    <row r="60" spans="1:8" ht="27.75" customHeight="1">
      <c r="A60" s="51">
        <v>59</v>
      </c>
      <c r="B60" s="51"/>
      <c r="C60" s="51"/>
      <c r="D60" s="51"/>
      <c r="E60" s="51"/>
      <c r="F60" s="51"/>
      <c r="G60" s="51"/>
      <c r="H60" s="51"/>
    </row>
    <row r="61" spans="1:8" ht="27.75" customHeight="1">
      <c r="A61" s="51">
        <v>60</v>
      </c>
      <c r="B61" s="51"/>
      <c r="C61" s="51"/>
      <c r="D61" s="51"/>
      <c r="E61" s="51"/>
      <c r="F61" s="51"/>
      <c r="G61" s="51"/>
      <c r="H61" s="51"/>
    </row>
    <row r="62" spans="1:8" ht="27.75" customHeight="1">
      <c r="A62" s="51">
        <v>61</v>
      </c>
      <c r="B62" s="51"/>
      <c r="C62" s="51"/>
      <c r="D62" s="51"/>
      <c r="E62" s="51"/>
      <c r="F62" s="51"/>
      <c r="G62" s="51"/>
      <c r="H62" s="51"/>
    </row>
    <row r="63" spans="1:8" ht="27.75" customHeight="1">
      <c r="A63" s="51">
        <v>62</v>
      </c>
      <c r="B63" s="51"/>
      <c r="C63" s="51"/>
      <c r="D63" s="51"/>
      <c r="E63" s="51"/>
      <c r="F63" s="51"/>
      <c r="G63" s="51"/>
      <c r="H63" s="51"/>
    </row>
    <row r="64" spans="1:8" ht="27.75" customHeight="1">
      <c r="A64" s="51">
        <v>63</v>
      </c>
      <c r="B64" s="51"/>
      <c r="C64" s="51"/>
      <c r="D64" s="51"/>
      <c r="E64" s="51"/>
      <c r="F64" s="51"/>
      <c r="G64" s="51"/>
      <c r="H64" s="51"/>
    </row>
    <row r="65" spans="1:8" ht="27.75" customHeight="1">
      <c r="A65" s="51">
        <v>64</v>
      </c>
      <c r="B65" s="51"/>
      <c r="C65" s="51"/>
      <c r="D65" s="51"/>
      <c r="E65" s="51"/>
      <c r="F65" s="51"/>
      <c r="G65" s="51"/>
      <c r="H65" s="51"/>
    </row>
    <row r="66" spans="1:8" ht="27.75" customHeight="1">
      <c r="A66" s="51">
        <v>65</v>
      </c>
      <c r="B66" s="51"/>
      <c r="C66" s="51"/>
      <c r="D66" s="51"/>
      <c r="E66" s="51"/>
      <c r="F66" s="51"/>
      <c r="G66" s="51"/>
      <c r="H66" s="51"/>
    </row>
    <row r="67" spans="1:8" ht="27.75" customHeight="1">
      <c r="A67" s="51">
        <v>66</v>
      </c>
      <c r="B67" s="51"/>
      <c r="C67" s="51"/>
      <c r="D67" s="51"/>
      <c r="E67" s="51"/>
      <c r="F67" s="51"/>
      <c r="G67" s="51"/>
      <c r="H67" s="51"/>
    </row>
    <row r="68" spans="1:8" ht="27.75" customHeight="1">
      <c r="A68" s="51">
        <v>67</v>
      </c>
      <c r="B68" s="51"/>
      <c r="C68" s="51"/>
      <c r="D68" s="51"/>
      <c r="E68" s="51"/>
      <c r="F68" s="51"/>
      <c r="G68" s="51"/>
      <c r="H68" s="51"/>
    </row>
    <row r="69" spans="1:8" ht="27.75" customHeight="1">
      <c r="A69" s="51">
        <v>68</v>
      </c>
      <c r="B69" s="51"/>
      <c r="C69" s="51"/>
      <c r="D69" s="51"/>
      <c r="E69" s="51"/>
      <c r="F69" s="51"/>
      <c r="G69" s="51"/>
      <c r="H69" s="51"/>
    </row>
    <row r="70" spans="1:8" ht="27.75" customHeight="1">
      <c r="A70" s="51">
        <v>69</v>
      </c>
      <c r="B70" s="51"/>
      <c r="C70" s="51"/>
      <c r="D70" s="51"/>
      <c r="E70" s="51"/>
      <c r="F70" s="51"/>
      <c r="G70" s="51"/>
      <c r="H70" s="51"/>
    </row>
    <row r="71" spans="1:8" ht="27.75" customHeight="1">
      <c r="A71" s="51">
        <v>70</v>
      </c>
    </row>
    <row r="72" spans="1:8" ht="27.75" customHeight="1">
      <c r="A72" s="51">
        <v>71</v>
      </c>
    </row>
    <row r="73" spans="1:8" ht="27.75" customHeight="1">
      <c r="A73" s="51">
        <v>72</v>
      </c>
    </row>
    <row r="74" spans="1:8" ht="27.75" customHeight="1">
      <c r="A74" s="51">
        <v>73</v>
      </c>
    </row>
    <row r="75" spans="1:8" ht="27.75" customHeight="1">
      <c r="A75" s="51">
        <v>74</v>
      </c>
    </row>
    <row r="76" spans="1:8" ht="27.75" customHeight="1">
      <c r="A76" s="51">
        <v>75</v>
      </c>
    </row>
    <row r="77" spans="1:8" ht="27.75" customHeight="1">
      <c r="A77" s="51">
        <v>76</v>
      </c>
    </row>
    <row r="78" spans="1:8" ht="27.75" customHeight="1">
      <c r="A78" s="51">
        <v>77</v>
      </c>
    </row>
    <row r="79" spans="1:8" ht="27.75" customHeight="1">
      <c r="A79" s="51">
        <v>78</v>
      </c>
    </row>
    <row r="80" spans="1:8" ht="27.75" customHeight="1">
      <c r="A80" s="51">
        <v>79</v>
      </c>
    </row>
    <row r="81" spans="1:1" ht="27.75" customHeight="1">
      <c r="A81" s="51">
        <v>80</v>
      </c>
    </row>
    <row r="82" spans="1:1" ht="27.75" customHeight="1">
      <c r="A82" s="51">
        <v>81</v>
      </c>
    </row>
    <row r="83" spans="1:1" ht="27.75" customHeight="1">
      <c r="A83" s="51">
        <v>82</v>
      </c>
    </row>
    <row r="84" spans="1:1" ht="27.75" customHeight="1">
      <c r="A84" s="51">
        <v>83</v>
      </c>
    </row>
    <row r="85" spans="1:1" ht="27.75" customHeight="1">
      <c r="A85" s="51">
        <v>84</v>
      </c>
    </row>
    <row r="86" spans="1:1" ht="27.75" customHeight="1">
      <c r="A86" s="51">
        <v>85</v>
      </c>
    </row>
    <row r="87" spans="1:1" ht="27.75" customHeight="1">
      <c r="A87" s="51">
        <v>86</v>
      </c>
    </row>
    <row r="88" spans="1:1" ht="27.75" customHeight="1">
      <c r="A88" s="51">
        <v>87</v>
      </c>
    </row>
    <row r="89" spans="1:1" ht="27.75" customHeight="1">
      <c r="A89" s="51">
        <v>88</v>
      </c>
    </row>
    <row r="90" spans="1:1" ht="27.75" customHeight="1">
      <c r="A90" s="51">
        <v>89</v>
      </c>
    </row>
    <row r="91" spans="1:1" ht="27.75" customHeight="1">
      <c r="A91" s="51">
        <v>90</v>
      </c>
    </row>
    <row r="92" spans="1:1" ht="27.75" customHeight="1">
      <c r="A92" s="51">
        <v>91</v>
      </c>
    </row>
    <row r="93" spans="1:1" ht="27.75" customHeight="1">
      <c r="A93" s="51">
        <v>92</v>
      </c>
    </row>
    <row r="94" spans="1:1" ht="27.75" customHeight="1">
      <c r="A94" s="51">
        <v>93</v>
      </c>
    </row>
    <row r="95" spans="1:1" ht="27.75" customHeight="1">
      <c r="A95" s="51">
        <v>94</v>
      </c>
    </row>
    <row r="96" spans="1:1" ht="27.75" customHeight="1">
      <c r="A96" s="51">
        <v>95</v>
      </c>
    </row>
    <row r="97" spans="1:1" ht="27.75" customHeight="1">
      <c r="A97" s="51">
        <v>96</v>
      </c>
    </row>
    <row r="98" spans="1:1" ht="27.75" customHeight="1">
      <c r="A98" s="51">
        <v>97</v>
      </c>
    </row>
    <row r="99" spans="1:1" ht="27.75" customHeight="1">
      <c r="A99" s="51">
        <v>98</v>
      </c>
    </row>
    <row r="100" spans="1:1" ht="27.75" customHeight="1">
      <c r="A100" s="51">
        <v>99</v>
      </c>
    </row>
  </sheetData>
  <hyperlinks>
    <hyperlink ref="C2" r:id="rId1" xr:uid="{00000000-0004-0000-0500-000000000000}"/>
    <hyperlink ref="C3" r:id="rId2" xr:uid="{00000000-0004-0000-0500-000001000000}"/>
    <hyperlink ref="C4" r:id="rId3" xr:uid="{00000000-0004-0000-0500-000002000000}"/>
    <hyperlink ref="C5" r:id="rId4" xr:uid="{00000000-0004-0000-0500-000003000000}"/>
    <hyperlink ref="C6" r:id="rId5" xr:uid="{00000000-0004-0000-0500-000004000000}"/>
    <hyperlink ref="C7" r:id="rId6" xr:uid="{00000000-0004-0000-0500-000005000000}"/>
    <hyperlink ref="C8" r:id="rId7" xr:uid="{00000000-0004-0000-0500-000006000000}"/>
    <hyperlink ref="C10" r:id="rId8" xr:uid="{00000000-0004-0000-0500-000007000000}"/>
    <hyperlink ref="C11" r:id="rId9" xr:uid="{00000000-0004-0000-0500-000008000000}"/>
    <hyperlink ref="C12" r:id="rId10" xr:uid="{00000000-0004-0000-0500-000009000000}"/>
    <hyperlink ref="C13" r:id="rId11" xr:uid="{00000000-0004-0000-0500-00000A000000}"/>
    <hyperlink ref="C14" r:id="rId12" xr:uid="{00000000-0004-0000-0500-00000B000000}"/>
    <hyperlink ref="C15" r:id="rId13" xr:uid="{00000000-0004-0000-0500-00000C000000}"/>
    <hyperlink ref="C16" r:id="rId14" xr:uid="{00000000-0004-0000-0500-00000D000000}"/>
    <hyperlink ref="C17" r:id="rId15" xr:uid="{00000000-0004-0000-0500-00000E000000}"/>
    <hyperlink ref="C18" r:id="rId16" xr:uid="{00000000-0004-0000-0500-00000F000000}"/>
    <hyperlink ref="C19" r:id="rId17" xr:uid="{00000000-0004-0000-0500-000010000000}"/>
    <hyperlink ref="C20" r:id="rId18" xr:uid="{00000000-0004-0000-0500-000011000000}"/>
    <hyperlink ref="C21" r:id="rId19" xr:uid="{00000000-0004-0000-0500-000012000000}"/>
    <hyperlink ref="C22" r:id="rId20" xr:uid="{00000000-0004-0000-0500-000013000000}"/>
    <hyperlink ref="C23" r:id="rId21" xr:uid="{00000000-0004-0000-0500-000014000000}"/>
    <hyperlink ref="C24" r:id="rId22" xr:uid="{00000000-0004-0000-0500-000015000000}"/>
    <hyperlink ref="C25" r:id="rId23" xr:uid="{00000000-0004-0000-0500-000016000000}"/>
    <hyperlink ref="C26" r:id="rId24" xr:uid="{00000000-0004-0000-0500-000017000000}"/>
    <hyperlink ref="C27" r:id="rId25" xr:uid="{00000000-0004-0000-0500-000018000000}"/>
    <hyperlink ref="C28" r:id="rId26" xr:uid="{00000000-0004-0000-0500-000019000000}"/>
    <hyperlink ref="C29" r:id="rId27" xr:uid="{00000000-0004-0000-0500-00001A000000}"/>
    <hyperlink ref="C30" r:id="rId28" xr:uid="{00000000-0004-0000-0500-00001B000000}"/>
    <hyperlink ref="C31" r:id="rId29" xr:uid="{00000000-0004-0000-0500-00001C000000}"/>
    <hyperlink ref="C32" r:id="rId30" xr:uid="{00000000-0004-0000-0500-00001D000000}"/>
    <hyperlink ref="C33" r:id="rId31" xr:uid="{00000000-0004-0000-0500-00001E000000}"/>
    <hyperlink ref="C34" r:id="rId32" xr:uid="{00000000-0004-0000-0500-00001F000000}"/>
    <hyperlink ref="C35" r:id="rId33" xr:uid="{00000000-0004-0000-0500-000020000000}"/>
    <hyperlink ref="C36" r:id="rId34" xr:uid="{00000000-0004-0000-0500-000021000000}"/>
    <hyperlink ref="C37" r:id="rId35" xr:uid="{00000000-0004-0000-0500-000022000000}"/>
    <hyperlink ref="C38" r:id="rId36" xr:uid="{00000000-0004-0000-0500-000023000000}"/>
    <hyperlink ref="C39" r:id="rId37" xr:uid="{00000000-0004-0000-0500-000024000000}"/>
    <hyperlink ref="C40" r:id="rId38" xr:uid="{00000000-0004-0000-0500-000025000000}"/>
    <hyperlink ref="C41" r:id="rId39" xr:uid="{00000000-0004-0000-0500-000026000000}"/>
    <hyperlink ref="C42" r:id="rId40" xr:uid="{00000000-0004-0000-0500-000027000000}"/>
    <hyperlink ref="C43" r:id="rId41" xr:uid="{00000000-0004-0000-0500-000028000000}"/>
    <hyperlink ref="C44" r:id="rId42" xr:uid="{00000000-0004-0000-0500-000029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 &amp;Kffffff&amp;A</oddHeader>
    <oddFooter>&amp;C&amp;"Times New Roman,Normal"&amp;12 &amp;KffffffPágina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58"/>
  <sheetViews>
    <sheetView topLeftCell="C103" zoomScale="110" zoomScaleNormal="110" workbookViewId="0">
      <selection activeCell="C1" sqref="C1"/>
    </sheetView>
  </sheetViews>
  <sheetFormatPr defaultColWidth="11.5703125" defaultRowHeight="13.5" customHeight="1"/>
  <cols>
    <col min="2" max="2" width="124.5703125" style="57" customWidth="1"/>
    <col min="3" max="3" width="141.140625" style="57" customWidth="1"/>
  </cols>
  <sheetData>
    <row r="1" spans="1:3" ht="13.5" customHeight="1">
      <c r="A1" s="56" t="s">
        <v>421</v>
      </c>
      <c r="B1" s="57" t="s">
        <v>422</v>
      </c>
      <c r="C1" s="57" t="str">
        <f>CONCATENATE(A1,B1)</f>
        <v>1 - Adestramento Básico em Ambiente Virtual - CI Bld;</v>
      </c>
    </row>
    <row r="2" spans="1:3" ht="13.5" customHeight="1">
      <c r="A2" s="56" t="s">
        <v>423</v>
      </c>
      <c r="B2" s="57" t="s">
        <v>424</v>
      </c>
      <c r="C2" s="57" t="str">
        <f>CONCATENATE(A2,B2)</f>
        <v>2 - Adestramento de Corneteiro e Clarins fora da sede,tinuação do Aditamento Administrativo nº 04 ao Boletim do CMS nº 09, de 05 de Março 25)</v>
      </c>
    </row>
    <row r="3" spans="1:3" ht="13.5" customHeight="1">
      <c r="A3" s="56" t="s">
        <v>425</v>
      </c>
      <c r="B3" s="57" t="s">
        <v>426</v>
      </c>
      <c r="C3" s="57" t="str">
        <f>CONCATENATE(A3,B3)</f>
        <v>3 - Ap Def Civ - 14ª Bda Inf Mtz - Exc Ajuda Humanitária</v>
      </c>
    </row>
    <row r="4" spans="1:3" ht="13.5" customHeight="1">
      <c r="A4" s="56" t="s">
        <v>427</v>
      </c>
      <c r="B4" s="57" t="s">
        <v>428</v>
      </c>
      <c r="C4" s="57" t="str">
        <f>CONCATENATE(A4,B4)</f>
        <v>4 - Apanha de Suprimento Classe I, II e V - fora da sede,</v>
      </c>
    </row>
    <row r="5" spans="1:3" ht="13.5" customHeight="1">
      <c r="A5" s="56" t="s">
        <v>429</v>
      </c>
      <c r="B5" s="57" t="s">
        <v>430</v>
      </c>
      <c r="C5" s="57" t="str">
        <f>CONCATENATE(A5,B5)</f>
        <v>5 - Apoio de Comunicações, na composição do CCOP da 3ª DE,</v>
      </c>
    </row>
    <row r="6" spans="1:3" ht="13.5" customHeight="1">
      <c r="A6" s="56" t="s">
        <v>431</v>
      </c>
      <c r="B6" s="57" t="s">
        <v>432</v>
      </c>
      <c r="C6" s="57" t="str">
        <f>CONCATENATE(A6,B6)</f>
        <v>6 - Apoio de Pessoal ao Setor de Aprovisionamento em formaturas e ou eventos realizados em localidades fora da sede.</v>
      </c>
    </row>
    <row r="7" spans="1:3" ht="13.5" customHeight="1">
      <c r="A7" s="56" t="s">
        <v>433</v>
      </c>
      <c r="B7" s="57" t="s">
        <v>434</v>
      </c>
      <c r="C7" s="57" t="str">
        <f>CONCATENATE(A7,B7)</f>
        <v>7 - Apoio de Polícia do Exército - Segurança de Autoridade / Instalações/Emprego de cães (faro);</v>
      </c>
    </row>
    <row r="8" spans="1:3" ht="13.5" customHeight="1">
      <c r="A8" s="56" t="s">
        <v>435</v>
      </c>
      <c r="B8" s="57" t="s">
        <v>436</v>
      </c>
      <c r="C8" s="57" t="str">
        <f>CONCATENATE(A8,B8)</f>
        <v>8 - Apoio de saúde em Ação Civico-Social, em Pericia Contábil, em Pericia Judicial, como Assistente Técnico da União em Pericia Judicial e como</v>
      </c>
    </row>
    <row r="9" spans="1:3" ht="13.5" customHeight="1">
      <c r="A9" s="56" t="s">
        <v>437</v>
      </c>
      <c r="B9" s="57" t="s">
        <v>438</v>
      </c>
      <c r="C9" s="57" t="str">
        <f>CONCATENATE(A9,B9)</f>
        <v>9 - Apoio Direto de Comunicação Social e Cobertura Midiática fora da sede,</v>
      </c>
    </row>
    <row r="10" spans="1:3" ht="13.5" customHeight="1">
      <c r="A10" s="56" t="s">
        <v>439</v>
      </c>
      <c r="B10" s="57" t="s">
        <v>440</v>
      </c>
      <c r="C10" s="57" t="str">
        <f>CONCATENATE(A10,B10)</f>
        <v>10 - Apoio Direto de Manutenção Logística;</v>
      </c>
    </row>
    <row r="11" spans="1:3" ht="13.5" customHeight="1">
      <c r="A11" s="56" t="s">
        <v>441</v>
      </c>
      <c r="B11" s="57" t="s">
        <v>442</v>
      </c>
      <c r="C11" s="57" t="str">
        <f>CONCATENATE(A11,B11)</f>
        <v>11 - Apoio Direto de Serviço de Engenharia fora da sede;</v>
      </c>
    </row>
    <row r="12" spans="1:3" ht="13.5" customHeight="1">
      <c r="A12" s="56" t="s">
        <v>443</v>
      </c>
      <c r="B12" s="57" t="s">
        <v>444</v>
      </c>
      <c r="C12" s="57" t="str">
        <f>CONCATENATE(A12,B12)</f>
        <v>12 - Apoio Direto de Transporte de Material por rodovias para fora da sede,</v>
      </c>
    </row>
    <row r="13" spans="1:3" ht="13.5" customHeight="1">
      <c r="A13" s="56" t="s">
        <v>445</v>
      </c>
      <c r="B13" s="57" t="s">
        <v>446</v>
      </c>
      <c r="C13" s="57" t="str">
        <f>CONCATENATE(A13,B13)</f>
        <v>13 - Apoio Direto de Transporte de Pessoal por rodovias para fora da sede,</v>
      </c>
    </row>
    <row r="14" spans="1:3" ht="13.5" customHeight="1">
      <c r="A14" s="56" t="s">
        <v>447</v>
      </c>
      <c r="B14" s="57" t="s">
        <v>448</v>
      </c>
      <c r="C14" s="57" t="str">
        <f>CONCATENATE(A14,B14)</f>
        <v>14 - Apoio Direto em Diligências (IPM/Sindicâncias) fora da sede;</v>
      </c>
    </row>
    <row r="15" spans="1:3" ht="13.5" customHeight="1">
      <c r="A15" s="56" t="s">
        <v>449</v>
      </c>
      <c r="B15" s="57" t="s">
        <v>450</v>
      </c>
      <c r="C15" s="57" t="str">
        <f>CONCATENATE(A15,B15)</f>
        <v>15 - Apoio e Serviços de Engenharia, fora da sede</v>
      </c>
    </row>
    <row r="16" spans="1:3" ht="13.5" customHeight="1">
      <c r="A16" s="56" t="s">
        <v>451</v>
      </c>
      <c r="B16" s="57" t="s">
        <v>452</v>
      </c>
      <c r="C16" s="57" t="str">
        <f>CONCATENATE(A16,B16)</f>
        <v>16 - Apoio logístico de transporte de pessoal, fora da sede da OM;</v>
      </c>
    </row>
    <row r="17" spans="1:3" ht="13.5" customHeight="1">
      <c r="A17" s="56" t="s">
        <v>453</v>
      </c>
      <c r="B17" s="57" t="s">
        <v>454</v>
      </c>
      <c r="C17" s="57" t="str">
        <f>CONCATENATE(A17,B17)</f>
        <v>17 - Apoio logístico no transporte de material de emprego militar, fora do quartel-general da OM, -</v>
      </c>
    </row>
    <row r="18" spans="1:3" ht="13.5" customHeight="1">
      <c r="A18" s="56" t="s">
        <v>455</v>
      </c>
      <c r="B18" s="57" t="s">
        <v>456</v>
      </c>
      <c r="C18" s="57" t="str">
        <f>CONCATENATE(A18,B18)</f>
        <v>18 - Apoio médico veterinário em temporadas hípicas;</v>
      </c>
    </row>
    <row r="19" spans="1:3" ht="13.5" customHeight="1">
      <c r="A19" s="56" t="s">
        <v>457</v>
      </c>
      <c r="B19" s="57" t="s">
        <v>458</v>
      </c>
      <c r="C19" s="57" t="str">
        <f>CONCATENATE(A19,B19)</f>
        <v>19 - Apoio na realização de Exames Psicológicos dos candidatos ao Curso de Formação e Graduação de Sargentos do Exército (CFGS 2024/2025),</v>
      </c>
    </row>
    <row r="20" spans="1:3" ht="13.5" customHeight="1">
      <c r="A20" s="56" t="s">
        <v>459</v>
      </c>
      <c r="B20" s="57" t="s">
        <v>460</v>
      </c>
      <c r="C20" s="57" t="str">
        <f>CONCATENATE(A20,B20)</f>
        <v>20 - Atividade Administrativa de Emissão de Certificado Digital;</v>
      </c>
    </row>
    <row r="21" spans="1:3" ht="13.5" customHeight="1">
      <c r="A21" s="56" t="s">
        <v>461</v>
      </c>
      <c r="B21" s="57" t="s">
        <v>462</v>
      </c>
      <c r="C21" s="57" t="str">
        <f>CONCATENATE(A21,B21)</f>
        <v>21 - Atividade de Acompanhamento da Preparação (fase 1) - FORPRON;</v>
      </c>
    </row>
    <row r="22" spans="1:3" ht="13.5" customHeight="1">
      <c r="A22" s="56" t="s">
        <v>463</v>
      </c>
      <c r="B22" s="57" t="s">
        <v>464</v>
      </c>
      <c r="C22" s="57" t="str">
        <f>CONCATENATE(A22,B22)</f>
        <v>22 - Atividade de Apoio ao Adestramento e Apoio a Certificação,</v>
      </c>
    </row>
    <row r="23" spans="1:3" ht="13.5" customHeight="1">
      <c r="A23" s="56" t="s">
        <v>465</v>
      </c>
      <c r="B23" s="57" t="s">
        <v>466</v>
      </c>
      <c r="C23" s="57" t="str">
        <f>CONCATENATE(A23,B23)</f>
        <v>23 - Atividade de Assistência Social;</v>
      </c>
    </row>
    <row r="24" spans="1:3" ht="13.5" customHeight="1">
      <c r="A24" s="56" t="s">
        <v>467</v>
      </c>
      <c r="B24" s="57" t="s">
        <v>468</v>
      </c>
      <c r="C24" s="57" t="str">
        <f>CONCATENATE(A24,B24)</f>
        <v>24 - Atividade de Campanha do Curso de Formação de Cabos (CFC);</v>
      </c>
    </row>
    <row r="25" spans="1:3" ht="13.5" customHeight="1">
      <c r="A25" s="56" t="s">
        <v>469</v>
      </c>
      <c r="B25" s="57" t="s">
        <v>470</v>
      </c>
      <c r="C25" s="57" t="str">
        <f>CONCATENATE(A25,B25)</f>
        <v>25 - Atividade de Campanha do Estágio Básico de Oficial Técnico Temporário (EBOT);</v>
      </c>
    </row>
    <row r="26" spans="1:3" ht="13.5" customHeight="1">
      <c r="A26" s="56" t="s">
        <v>471</v>
      </c>
      <c r="B26" s="57" t="s">
        <v>472</v>
      </c>
      <c r="C26" s="57" t="str">
        <f>CONCATENATE(A26,B26)</f>
        <v>26 - Atividade de Campanha do Estágio Básico de Sargento Temporário (EBST);</v>
      </c>
    </row>
    <row r="27" spans="1:3" ht="13.5" customHeight="1">
      <c r="A27" s="56" t="s">
        <v>473</v>
      </c>
      <c r="B27" s="57" t="s">
        <v>474</v>
      </c>
      <c r="C27" s="57" t="str">
        <f>CONCATENATE(A27,B27)</f>
        <v>27 - Atividade de Campanha do NPOR,</v>
      </c>
    </row>
    <row r="28" spans="1:3" ht="13.5" customHeight="1">
      <c r="A28" s="56" t="s">
        <v>475</v>
      </c>
      <c r="B28" s="57" t="s">
        <v>476</v>
      </c>
      <c r="C28" s="57" t="str">
        <f>CONCATENATE(A28,B28)</f>
        <v>28 - Atividade de Diligências de PE, fora da sede;</v>
      </c>
    </row>
    <row r="29" spans="1:3" ht="13.5" customHeight="1">
      <c r="A29" s="56" t="s">
        <v>477</v>
      </c>
      <c r="B29" s="57" t="s">
        <v>478</v>
      </c>
      <c r="C29" s="57" t="str">
        <f>CONCATENATE(A29,B29)</f>
        <v>29 - Atividade de Escolta em Motocicletas PE nas Visitas de Autoridades - fora da sede, - Atividade de Troca de Motocicletas PE entre as OMPE - fora da sede,</v>
      </c>
    </row>
    <row r="30" spans="1:3" ht="13.5" customHeight="1">
      <c r="A30" s="56" t="s">
        <v>479</v>
      </c>
      <c r="B30" s="57" t="s">
        <v>480</v>
      </c>
      <c r="C30" s="57" t="str">
        <f>CONCATENATE(A30,B30)</f>
        <v>30 - Atividade Relacionada com Apresentação Institucional da Banda de Música fora da sede;</v>
      </c>
    </row>
    <row r="31" spans="1:3" ht="13.5" customHeight="1">
      <c r="A31" s="56" t="s">
        <v>481</v>
      </c>
      <c r="B31" s="57" t="s">
        <v>482</v>
      </c>
      <c r="C31" s="57" t="str">
        <f>CONCATENATE(A31,B31)</f>
        <v>31 - Atividade Relacionada com Comissão de Seleção Complementar fora da sede,</v>
      </c>
    </row>
    <row r="32" spans="1:3" ht="13.5" customHeight="1">
      <c r="A32" s="56" t="s">
        <v>483</v>
      </c>
      <c r="B32" s="57" t="s">
        <v>484</v>
      </c>
      <c r="C32" s="57" t="str">
        <f>CONCATENATE(A32,B32)</f>
        <v>32 - Atividade Relacionada com Inspeção de Saúde de militares em OMSau fora da sede;</v>
      </c>
    </row>
    <row r="33" spans="1:3" ht="13.5" customHeight="1">
      <c r="A33" s="56" t="s">
        <v>485</v>
      </c>
      <c r="B33" s="57" t="s">
        <v>486</v>
      </c>
      <c r="C33" s="57" t="str">
        <f>CONCATENATE(A33,B33)</f>
        <v>33 - Atividades da Comissão de Seleção fora da Sede;</v>
      </c>
    </row>
    <row r="34" spans="1:3" ht="13.5" customHeight="1">
      <c r="A34" s="56" t="s">
        <v>487</v>
      </c>
      <c r="B34" s="57" t="s">
        <v>488</v>
      </c>
      <c r="C34" s="57" t="str">
        <f>CONCATENATE(A34,B34)</f>
        <v>34 - Atividades da Semana da Pátria,</v>
      </c>
    </row>
    <row r="35" spans="1:3" ht="13.5" customHeight="1">
      <c r="A35" s="56" t="s">
        <v>489</v>
      </c>
      <c r="B35" s="57" t="s">
        <v>490</v>
      </c>
      <c r="C35" s="57" t="str">
        <f>CONCATENATE(A35,B35)</f>
        <v>35 - Atividades de Operações de Informação - fora da sede,</v>
      </c>
    </row>
    <row r="36" spans="1:3" ht="13.5" customHeight="1">
      <c r="A36" s="56" t="s">
        <v>491</v>
      </c>
      <c r="B36" s="57" t="s">
        <v>492</v>
      </c>
      <c r="C36" s="57" t="str">
        <f>CONCATENATE(A36,B36)</f>
        <v>36 - Atividades de Operações de Inteligência - fora da sede;</v>
      </c>
    </row>
    <row r="37" spans="1:3" ht="13.5" customHeight="1">
      <c r="A37" s="56" t="s">
        <v>493</v>
      </c>
      <c r="B37" s="57" t="s">
        <v>494</v>
      </c>
      <c r="C37" s="57" t="str">
        <f>CONCATENATE(A37,B37)</f>
        <v>37 - Atividades de Preparação para a Certificação da FORPORN,</v>
      </c>
    </row>
    <row r="38" spans="1:3" ht="13.5" customHeight="1">
      <c r="A38" s="56" t="s">
        <v>495</v>
      </c>
      <c r="B38" s="57" t="s">
        <v>496</v>
      </c>
      <c r="C38" s="57" t="str">
        <f>CONCATENATE(A38,B38)</f>
        <v>38 - Atividades de VOT Gestão Ambiental;</v>
      </c>
    </row>
    <row r="39" spans="1:3" ht="13.5" customHeight="1">
      <c r="A39" s="56" t="s">
        <v>497</v>
      </c>
      <c r="B39" s="57" t="s">
        <v>498</v>
      </c>
      <c r="C39" s="57" t="str">
        <f>CONCATENATE(A39,B39)</f>
        <v>39 - Atividades Desportivas, fora da sede;</v>
      </c>
    </row>
    <row r="40" spans="1:3" ht="13.5" customHeight="1">
      <c r="A40" s="56" t="s">
        <v>499</v>
      </c>
      <c r="B40" s="57" t="s">
        <v>500</v>
      </c>
      <c r="C40" s="57" t="str">
        <f>CONCATENATE(A40,B40)</f>
        <v>40 - Atividades envolvidas na Instrução Individual Basica,</v>
      </c>
    </row>
    <row r="41" spans="1:3" ht="13.5" customHeight="1">
      <c r="A41" s="56" t="s">
        <v>501</v>
      </c>
      <c r="B41" s="57" t="s">
        <v>502</v>
      </c>
      <c r="C41" s="57" t="str">
        <f>CONCATENATE(A41,B41)</f>
        <v>41 - Atividades relacionadas ao Exercício de Simulação Viva (CA - Sul);</v>
      </c>
    </row>
    <row r="42" spans="1:3" ht="13.5" customHeight="1">
      <c r="A42" s="56" t="s">
        <v>503</v>
      </c>
      <c r="B42" s="57" t="s">
        <v>504</v>
      </c>
      <c r="C42" s="57" t="str">
        <f>CONCATENATE(A42,B42)</f>
        <v>42 - Atividades Religiosas no Âmbito da 5ª DE (SAREx);</v>
      </c>
    </row>
    <row r="43" spans="1:3" ht="13.5" customHeight="1">
      <c r="A43" s="56" t="s">
        <v>505</v>
      </c>
      <c r="B43" s="57" t="s">
        <v>506</v>
      </c>
      <c r="C43" s="57" t="str">
        <f>CONCATENATE(A43,B43)</f>
        <v>43 - BOMBEIROS NPOR (Angelina-SC)</v>
      </c>
    </row>
    <row r="44" spans="1:3" ht="13.5" customHeight="1">
      <c r="A44" s="56" t="s">
        <v>507</v>
      </c>
      <c r="B44" s="57" t="s">
        <v>508</v>
      </c>
      <c r="C44" s="57" t="str">
        <f>CONCATENATE(A44,B44)</f>
        <v>44 - Capacitação de Operador do Polígono de Tiro do CIMH,</v>
      </c>
    </row>
    <row r="45" spans="1:3" ht="13.5" customHeight="1">
      <c r="A45" s="56" t="s">
        <v>509</v>
      </c>
      <c r="B45" s="57" t="s">
        <v>510</v>
      </c>
      <c r="C45" s="57" t="str">
        <f>CONCATENATE(A45,B45)</f>
        <v>45 - Capacitação em Com Soc e RI-5ª DE.</v>
      </c>
    </row>
    <row r="46" spans="1:3" ht="13.5" customHeight="1">
      <c r="A46" s="56" t="s">
        <v>511</v>
      </c>
      <c r="B46" s="57" t="s">
        <v>512</v>
      </c>
      <c r="C46" s="57" t="str">
        <f>CONCATENATE(A46,B46)</f>
        <v>46 - Capacitação em Georreferenciamento, -</v>
      </c>
    </row>
    <row r="47" spans="1:3" ht="13.5" customHeight="1">
      <c r="A47" s="56" t="s">
        <v>513</v>
      </c>
      <c r="B47" s="57" t="s">
        <v>514</v>
      </c>
      <c r="C47" s="57" t="str">
        <f>CONCATENATE(A47,B47)</f>
        <v>47 - Capacitação em Inteligência - 5ª DE,</v>
      </c>
    </row>
    <row r="48" spans="1:3" ht="13.5" customHeight="1">
      <c r="A48" s="56" t="s">
        <v>515</v>
      </c>
      <c r="B48" s="57" t="s">
        <v>516</v>
      </c>
      <c r="C48" s="57" t="str">
        <f>CONCATENATE(A48,B48)</f>
        <v>48 - Capacitação em Manutenção Classe II, V, VI e IX no Blog orgânico da GU,</v>
      </c>
    </row>
    <row r="49" spans="1:3" ht="13.5" customHeight="1">
      <c r="A49" s="56" t="s">
        <v>517</v>
      </c>
      <c r="B49" s="57" t="s">
        <v>518</v>
      </c>
      <c r="C49" s="57" t="str">
        <f>CONCATENATE(A49,B49)</f>
        <v>49 - Capacitação Técnica e Tática do Efetivo Profissional de OF/Sgt - fora da sede,</v>
      </c>
    </row>
    <row r="50" spans="1:3" ht="13.5" customHeight="1">
      <c r="A50" s="56" t="s">
        <v>519</v>
      </c>
      <c r="B50" s="57" t="s">
        <v>520</v>
      </c>
      <c r="C50" s="57" t="str">
        <f>CONCATENATE(A50,B50)</f>
        <v>50 - Cerimônia Nacional do Cerco da Lapa,</v>
      </c>
    </row>
    <row r="51" spans="1:3" ht="13.5" customHeight="1">
      <c r="A51" s="56" t="s">
        <v>521</v>
      </c>
      <c r="B51" s="57" t="s">
        <v>522</v>
      </c>
      <c r="C51" s="57" t="str">
        <f>CONCATENATE(A51,B51)</f>
        <v>51 - Certificação FORPRON Geral,</v>
      </c>
    </row>
    <row r="52" spans="1:3" ht="13.5" customHeight="1">
      <c r="A52" s="56" t="s">
        <v>523</v>
      </c>
      <c r="B52" s="57" t="s">
        <v>524</v>
      </c>
      <c r="C52" s="57" t="str">
        <f>CONCATENATE(A52,B52)</f>
        <v>52 - Certificação Simulação Construtiva e Viva 15ª Bda Inf Mec e 5ª Bda C Bld,</v>
      </c>
    </row>
    <row r="53" spans="1:3" ht="13.5" customHeight="1">
      <c r="A53" s="56" t="s">
        <v>525</v>
      </c>
      <c r="B53" s="57" t="s">
        <v>526</v>
      </c>
      <c r="C53" s="57" t="str">
        <f>CONCATENATE(A53,B53)</f>
        <v>53 - Comando e Passagem do Cargo de Adjunto de Comando, Atividades de Representação em Solenidades de Conclusão de Cursos de Aperfeiçoamento,</v>
      </c>
    </row>
    <row r="54" spans="1:3" ht="13.5" customHeight="1">
      <c r="A54" s="56" t="s">
        <v>527</v>
      </c>
      <c r="B54" s="57" t="s">
        <v>528</v>
      </c>
      <c r="C54" s="57" t="str">
        <f>CONCATENATE(A54,B54)</f>
        <v>54 - Competição de Grupo de Combate Motorizado do CMS (GC Mtz);</v>
      </c>
    </row>
    <row r="55" spans="1:3" ht="13.5" customHeight="1">
      <c r="A55" s="56" t="s">
        <v>529</v>
      </c>
      <c r="B55" s="57" t="s">
        <v>530</v>
      </c>
      <c r="C55" s="57" t="str">
        <f>CONCATENATE(A55,B55)</f>
        <v>55 - Competição de Guarnição de Blindado da 6ª Bda Inf Bld, fora da sede,</v>
      </c>
    </row>
    <row r="56" spans="1:3" ht="13.5" customHeight="1">
      <c r="A56" s="56" t="s">
        <v>531</v>
      </c>
      <c r="B56" s="57" t="s">
        <v>532</v>
      </c>
      <c r="C56" s="57" t="str">
        <f>CONCATENATE(A56,B56)</f>
        <v>56 - Competições Desportivas fora da sede,</v>
      </c>
    </row>
    <row r="57" spans="1:3" ht="13.5" customHeight="1">
      <c r="A57" s="56" t="s">
        <v>533</v>
      </c>
      <c r="B57" s="57" t="s">
        <v>534</v>
      </c>
      <c r="C57" s="57" t="str">
        <f>CONCATENATE(A57,B57)</f>
        <v>57 - Concurso de Ordem Unida - fora da sede,</v>
      </c>
    </row>
    <row r="58" spans="1:3" ht="13.5" customHeight="1">
      <c r="A58" s="56" t="s">
        <v>535</v>
      </c>
      <c r="B58" s="57" t="s">
        <v>536</v>
      </c>
      <c r="C58" s="57" t="str">
        <f>CONCATENATE(A58,B58)</f>
        <v>58 - Curso de Formação de Motorista Categoria C, D e E;</v>
      </c>
    </row>
    <row r="59" spans="1:3" ht="13.5" customHeight="1">
      <c r="A59" s="56" t="s">
        <v>537</v>
      </c>
      <c r="B59" s="57" t="s">
        <v>538</v>
      </c>
      <c r="C59" s="57" t="str">
        <f>CONCATENATE(A59,B59)</f>
        <v>59 - Curso de Operador de Equipamento SARP,</v>
      </c>
    </row>
    <row r="60" spans="1:3" ht="13.5" customHeight="1">
      <c r="A60" s="56" t="s">
        <v>539</v>
      </c>
      <c r="B60" s="57" t="s">
        <v>540</v>
      </c>
      <c r="C60" s="57" t="str">
        <f>CONCATENATE(A60,B60)</f>
        <v>60 - Deslocamento de militares para participar de Reuniões Setoriais;</v>
      </c>
    </row>
    <row r="61" spans="1:3" ht="13.5" customHeight="1">
      <c r="A61" s="56" t="s">
        <v>541</v>
      </c>
      <c r="B61" s="57" t="s">
        <v>542</v>
      </c>
      <c r="C61" s="57" t="str">
        <f>CONCATENATE(A61,B61)</f>
        <v xml:space="preserve">61 - Deslocamento dos Comandantes, Chefes e Diretores à guarnição de Porto Alegre para </v>
      </c>
    </row>
    <row r="62" spans="1:3" ht="13.5" customHeight="1">
      <c r="A62" s="56" t="s">
        <v>543</v>
      </c>
      <c r="B62" s="57" t="s">
        <v>544</v>
      </c>
      <c r="C62" s="57" t="str">
        <f>CONCATENATE(A62,B62)</f>
        <v>62 - Deslocamento operacional/administrativo/apoio logistico e transporte de blindados.</v>
      </c>
    </row>
    <row r="63" spans="1:3" ht="13.5" customHeight="1">
      <c r="A63" s="56" t="s">
        <v>545</v>
      </c>
      <c r="B63" s="57" t="s">
        <v>546</v>
      </c>
      <c r="C63" s="57" t="str">
        <f>CONCATENATE(A63,B63)</f>
        <v>63 - Dia da Conquista de ForNovo, fora da cadeira.</v>
      </c>
    </row>
    <row r="64" spans="1:3" ht="13.5" customHeight="1">
      <c r="A64" s="56" t="s">
        <v>547</v>
      </c>
      <c r="B64" s="57" t="s">
        <v>548</v>
      </c>
      <c r="C64" s="57" t="str">
        <f>CONCATENATE(A64,B64)</f>
        <v>64 - Dia da Vitória, fora da sede:</v>
      </c>
    </row>
    <row r="65" spans="1:3" ht="13.5" customHeight="1">
      <c r="A65" s="56" t="s">
        <v>549</v>
      </c>
      <c r="B65" s="57" t="s">
        <v>550</v>
      </c>
      <c r="C65" s="57" t="str">
        <f>CONCATENATE(A65,B65)</f>
        <v>65 - Dia do Exército, fora da sede,</v>
      </c>
    </row>
    <row r="66" spans="1:3" ht="13.5" customHeight="1">
      <c r="A66" s="56" t="s">
        <v>551</v>
      </c>
      <c r="B66" s="57" t="s">
        <v>552</v>
      </c>
      <c r="C66" s="57" t="str">
        <f>CONCATENATE(A66,B66)</f>
        <v>66 - Dia do Expedicionário, fora da sede;</v>
      </c>
    </row>
    <row r="67" spans="1:3" ht="13.5" customHeight="1">
      <c r="A67" s="56" t="s">
        <v>553</v>
      </c>
      <c r="B67" s="57" t="s">
        <v>554</v>
      </c>
      <c r="C67" s="57" t="str">
        <f>CONCATENATE(A67,B67)</f>
        <v>67 - ELD NPOR (Tubarão-SC)</v>
      </c>
    </row>
    <row r="68" spans="1:3" ht="13.5" customHeight="1">
      <c r="A68" s="56" t="s">
        <v>555</v>
      </c>
      <c r="B68" s="57" t="s">
        <v>556</v>
      </c>
      <c r="C68" s="57" t="str">
        <f>CONCATENATE(A68,B68)</f>
        <v>68 - Emergência de Localidades, fora da sede.</v>
      </c>
    </row>
    <row r="69" spans="1:3" ht="13.5" customHeight="1">
      <c r="A69" s="56" t="s">
        <v>557</v>
      </c>
      <c r="B69" s="57" t="s">
        <v>558</v>
      </c>
      <c r="C69" s="57" t="str">
        <f>CONCATENATE(A69,B69)</f>
        <v>69 - Estágio APHT,</v>
      </c>
    </row>
    <row r="70" spans="1:3" ht="13.5" customHeight="1">
      <c r="A70" s="56" t="s">
        <v>559</v>
      </c>
      <c r="B70" s="57" t="s">
        <v>560</v>
      </c>
      <c r="C70" s="57" t="str">
        <f>CONCATENATE(A70,B70)</f>
        <v>70 - Estágio de Área de Adestramento e Emprego de Cães de Guerra,</v>
      </c>
    </row>
    <row r="71" spans="1:3" ht="13.5" customHeight="1">
      <c r="A71" s="56" t="s">
        <v>561</v>
      </c>
      <c r="B71" s="57" t="s">
        <v>562</v>
      </c>
      <c r="C71" s="57" t="str">
        <f>CONCATENATE(A71,B71)</f>
        <v>71 - Estágio de Área de APH Tático;</v>
      </c>
    </row>
    <row r="72" spans="1:3" ht="13.5" customHeight="1">
      <c r="A72" s="56" t="s">
        <v>563</v>
      </c>
      <c r="B72" s="57" t="s">
        <v>564</v>
      </c>
      <c r="C72" s="57" t="str">
        <f>CONCATENATE(A72,B72)</f>
        <v>72 - Estágio de Área de Atendimento Pré-Hospitalar Tático (nível III),</v>
      </c>
    </row>
    <row r="73" spans="1:3" ht="13.5" customHeight="1">
      <c r="A73" s="56" t="s">
        <v>565</v>
      </c>
      <c r="B73" s="57" t="s">
        <v>566</v>
      </c>
      <c r="C73" s="57" t="str">
        <f>CONCATENATE(A73,B73)</f>
        <v>73 - Estágio de Área de Batedor e Motociclista Militar,</v>
      </c>
    </row>
    <row r="74" spans="1:3" ht="13.5" customHeight="1">
      <c r="A74" s="56" t="s">
        <v>567</v>
      </c>
      <c r="B74" s="57" t="s">
        <v>568</v>
      </c>
      <c r="C74" s="57" t="str">
        <f>CONCATENATE(A74,B74)</f>
        <v>74 - Estágio de Área de Caçador</v>
      </c>
    </row>
    <row r="75" spans="1:3" ht="13.5" customHeight="1">
      <c r="A75" s="56" t="s">
        <v>569</v>
      </c>
      <c r="B75" s="57" t="s">
        <v>570</v>
      </c>
      <c r="C75" s="57" t="str">
        <f>CONCATENATE(A75,B75)</f>
        <v>75 - Estágio de Área de Caçador de Corpo de Tropa;</v>
      </c>
    </row>
    <row r="76" spans="1:3" ht="13.5" customHeight="1">
      <c r="A76" s="56" t="s">
        <v>571</v>
      </c>
      <c r="B76" s="57" t="s">
        <v>572</v>
      </c>
      <c r="C76" s="57" t="str">
        <f>CONCATENATE(A76,B76)</f>
        <v>76 - Estágio de Área de Caçador,</v>
      </c>
    </row>
    <row r="77" spans="1:3" ht="13.5" customHeight="1">
      <c r="A77" s="56" t="s">
        <v>573</v>
      </c>
      <c r="B77" s="57" t="s">
        <v>574</v>
      </c>
      <c r="C77" s="57" t="str">
        <f>CONCATENATE(A77,B77)</f>
        <v>77 - Estágio de Área de Combate Corpo a Corpo,</v>
      </c>
    </row>
    <row r="78" spans="1:3" ht="13.5" customHeight="1">
      <c r="A78" s="56" t="s">
        <v>575</v>
      </c>
      <c r="B78" s="57" t="s">
        <v>576</v>
      </c>
      <c r="C78" s="57" t="str">
        <f>CONCATENATE(A78,B78)</f>
        <v>78 - Estágio de Área de Ferradoria;</v>
      </c>
    </row>
    <row r="79" spans="1:3" ht="13.5" customHeight="1">
      <c r="A79" s="56" t="s">
        <v>577</v>
      </c>
      <c r="B79" s="57" t="s">
        <v>578</v>
      </c>
      <c r="C79" s="57" t="str">
        <f>CONCATENATE(A79,B79)</f>
        <v>79 - Estágio de Área de Gerenciamento de Frota Blindada;</v>
      </c>
    </row>
    <row r="80" spans="1:3" ht="13.5" customHeight="1">
      <c r="A80" s="56" t="s">
        <v>579</v>
      </c>
      <c r="B80" s="57" t="s">
        <v>580</v>
      </c>
      <c r="C80" s="57" t="str">
        <f>CONCATENATE(A80,B80)</f>
        <v>80 - Estágio de Área de Instrutor de Operações com Explosivos e Empaiolamento;</v>
      </c>
    </row>
    <row r="81" spans="1:3" ht="13.5" customHeight="1">
      <c r="A81" s="56" t="s">
        <v>581</v>
      </c>
      <c r="B81" s="57" t="s">
        <v>582</v>
      </c>
      <c r="C81" s="57" t="str">
        <f>CONCATENATE(A81,B81)</f>
        <v>81 - Estágio de Área de Inteligência Militar,</v>
      </c>
    </row>
    <row r="82" spans="1:3" ht="13.5" customHeight="1">
      <c r="A82" s="56" t="s">
        <v>583</v>
      </c>
      <c r="B82" s="57" t="s">
        <v>584</v>
      </c>
      <c r="C82" s="57" t="str">
        <f>CONCATENATE(A82,B82)</f>
        <v>82 - Estágio de Área de Morteiro Pesado;</v>
      </c>
    </row>
    <row r="83" spans="1:3" ht="13.5" customHeight="1">
      <c r="A83" s="56" t="s">
        <v>585</v>
      </c>
      <c r="B83" s="57" t="s">
        <v>586</v>
      </c>
      <c r="C83" s="57" t="str">
        <f>CONCATENATE(A83,B83)</f>
        <v>83 - Estágio de Área de Motociclista Militar,</v>
      </c>
    </row>
    <row r="84" spans="1:3" ht="13.5" customHeight="1">
      <c r="A84" s="56" t="s">
        <v>587</v>
      </c>
      <c r="B84" s="57" t="s">
        <v>588</v>
      </c>
      <c r="C84" s="57" t="str">
        <f>CONCATENATE(A84,B84)</f>
        <v>84 - Estágio de Área de Op Explosivos 2ª Turno</v>
      </c>
    </row>
    <row r="85" spans="1:3" ht="13.5" customHeight="1">
      <c r="A85" s="56" t="s">
        <v>589</v>
      </c>
      <c r="B85" s="57" t="s">
        <v>590</v>
      </c>
      <c r="C85" s="57" t="str">
        <f>CONCATENATE(A85,B85)</f>
        <v>85 - Estágio de Área de Operação da VBC OAP M109,</v>
      </c>
    </row>
    <row r="86" spans="1:3" ht="13.5" customHeight="1">
      <c r="A86" s="56" t="s">
        <v>591</v>
      </c>
      <c r="B86" s="57" t="s">
        <v>592</v>
      </c>
      <c r="C86" s="57" t="str">
        <f>CONCATENATE(A86,B86)</f>
        <v>86 - Estagio de Área de Operação de Informação,</v>
      </c>
    </row>
    <row r="87" spans="1:3" ht="13.5" customHeight="1">
      <c r="A87" s="56" t="s">
        <v>593</v>
      </c>
      <c r="B87" s="57" t="s">
        <v>594</v>
      </c>
      <c r="C87" s="57" t="str">
        <f>CONCATENATE(A87,B87)</f>
        <v>87 - Estágio de Área de Operação e Manutenção de Geradores, fora da sede,</v>
      </c>
    </row>
    <row r="88" spans="1:3" ht="13.5" customHeight="1">
      <c r="A88" s="56" t="s">
        <v>595</v>
      </c>
      <c r="B88" s="57" t="s">
        <v>596</v>
      </c>
      <c r="C88" s="57" t="str">
        <f>CONCATENATE(A88,B88)</f>
        <v>88 - Estágio de Área de Operação Explosivos 1º e 2º Turno,</v>
      </c>
    </row>
    <row r="89" spans="1:3" ht="13.5" customHeight="1">
      <c r="A89" s="56" t="s">
        <v>597</v>
      </c>
      <c r="B89" s="57" t="s">
        <v>598</v>
      </c>
      <c r="C89" s="57" t="str">
        <f>CONCATENATE(A89,B89)</f>
        <v>89 - Estágio de Área de Operações com Explosivos;</v>
      </c>
    </row>
    <row r="90" spans="1:3" ht="13.5" customHeight="1">
      <c r="A90" s="56" t="s">
        <v>599</v>
      </c>
      <c r="B90" s="57" t="s">
        <v>600</v>
      </c>
      <c r="C90" s="57" t="str">
        <f>CONCATENATE(A90,B90)</f>
        <v>90 - Estágio de Área de Operador dos Rádios Harris,</v>
      </c>
    </row>
    <row r="91" spans="1:3" ht="13.5" customHeight="1">
      <c r="A91" s="56" t="s">
        <v>601</v>
      </c>
      <c r="B91" s="57" t="s">
        <v>602</v>
      </c>
      <c r="C91" s="57" t="str">
        <f>CONCATENATE(A91,B91)</f>
        <v>91 - Estágio de Área de Prevenção de Acidentes com Motocicleta,</v>
      </c>
    </row>
    <row r="92" spans="1:3" ht="13.5" customHeight="1">
      <c r="A92" s="56" t="s">
        <v>603</v>
      </c>
      <c r="B92" s="57" t="s">
        <v>604</v>
      </c>
      <c r="C92" s="57" t="str">
        <f>CONCATENATE(A92,B92)</f>
        <v>92 - Estágio de Área de Segurança de Autoridade (SA).</v>
      </c>
    </row>
    <row r="93" spans="1:3" ht="13.5" customHeight="1">
      <c r="A93" s="56" t="s">
        <v>605</v>
      </c>
      <c r="B93" s="57" t="s">
        <v>606</v>
      </c>
      <c r="C93" s="57" t="str">
        <f>CONCATENATE(A93,B93)</f>
        <v>93 - Estágio de Área de Segurança e Proteção de Autoridade,</v>
      </c>
    </row>
    <row r="94" spans="1:3" ht="13.5" customHeight="1">
      <c r="A94" s="56" t="s">
        <v>607</v>
      </c>
      <c r="B94" s="57" t="s">
        <v>608</v>
      </c>
      <c r="C94" s="57" t="str">
        <f>CONCATENATE(A94,B94)</f>
        <v>94 - Estágio de Área de Técnicas, Táticas e Procedimentos para Operações Urbanas;</v>
      </c>
    </row>
    <row r="95" spans="1:3" ht="13.5" customHeight="1">
      <c r="A95" s="56" t="s">
        <v>609</v>
      </c>
      <c r="B95" s="57" t="s">
        <v>610</v>
      </c>
      <c r="C95" s="57" t="str">
        <f>CONCATENATE(A95,B95)</f>
        <v>95 - Estágio de Área de TTP para Op Ter e Flu na Fx Fron</v>
      </c>
    </row>
    <row r="96" spans="1:3" ht="13.5" customHeight="1">
      <c r="A96" s="56" t="s">
        <v>611</v>
      </c>
      <c r="B96" s="57" t="s">
        <v>612</v>
      </c>
      <c r="C96" s="57" t="str">
        <f>CONCATENATE(A96,B96)</f>
        <v>96 - Estágio de Área de TTP para Operações Terrestres e Fluviais na Faixa da Fronteira,</v>
      </c>
    </row>
    <row r="97" spans="1:3" ht="13.5" customHeight="1">
      <c r="A97" s="56" t="s">
        <v>613</v>
      </c>
      <c r="B97" s="57" t="s">
        <v>614</v>
      </c>
      <c r="C97" s="57" t="str">
        <f>CONCATENATE(A97,B97)</f>
        <v>97 - Estágio de Área de TTP para Operações Urbanas</v>
      </c>
    </row>
    <row r="98" spans="1:3" ht="13.5" customHeight="1">
      <c r="A98" s="56" t="s">
        <v>615</v>
      </c>
      <c r="B98" s="57" t="s">
        <v>616</v>
      </c>
      <c r="C98" s="57" t="str">
        <f>CONCATENATE(A98,B98)</f>
        <v>98 - Estagio de Área de TTP para Operações Urbanas.</v>
      </c>
    </row>
    <row r="99" spans="1:3" ht="13.5" customHeight="1">
      <c r="A99" s="56" t="s">
        <v>617</v>
      </c>
      <c r="B99" s="57" t="s">
        <v>618</v>
      </c>
      <c r="C99" s="57" t="str">
        <f>CONCATENATE(A99,B99)</f>
        <v>99 - Estágio de ARRAS - 15° Bda Inf Mec;</v>
      </c>
    </row>
    <row r="100" spans="1:3" ht="13.5" customHeight="1">
      <c r="A100" s="56" t="s">
        <v>619</v>
      </c>
      <c r="B100" s="57" t="s">
        <v>620</v>
      </c>
      <c r="C100" s="57" t="str">
        <f>CONCATENATE(A100,B100)</f>
        <v>100 - Estágio de Caatinga para OCA,</v>
      </c>
    </row>
    <row r="101" spans="1:3" ht="13.5" customHeight="1">
      <c r="A101" s="56" t="s">
        <v>621</v>
      </c>
      <c r="B101" s="57" t="s">
        <v>622</v>
      </c>
      <c r="C101" s="57" t="str">
        <f>CONCATENATE(A101,B101)</f>
        <v>101 - Estágio de Capacitação do Site Tático SRDT (apoio do 9º B Com GE);</v>
      </c>
    </row>
    <row r="102" spans="1:3" ht="13.5" customHeight="1">
      <c r="A102" s="56" t="s">
        <v>623</v>
      </c>
      <c r="B102" s="57" t="s">
        <v>624</v>
      </c>
      <c r="C102" s="57" t="str">
        <f>CONCATENATE(A102,B102)</f>
        <v>102 - Estágio de Habilitação de Identificador de Corpo de Tropa;</v>
      </c>
    </row>
    <row r="103" spans="1:3" ht="13.5" customHeight="1">
      <c r="A103" s="56" t="s">
        <v>625</v>
      </c>
      <c r="B103" s="57" t="s">
        <v>626</v>
      </c>
      <c r="C103" s="57" t="str">
        <f>CONCATENATE(A103,B103)</f>
        <v>103 - Estágio de Planejamento de Exercícios com apoio da Simulação de Combate,</v>
      </c>
    </row>
    <row r="104" spans="1:3" ht="13.5" customHeight="1">
      <c r="A104" s="56" t="s">
        <v>627</v>
      </c>
      <c r="B104" s="57" t="s">
        <v>628</v>
      </c>
      <c r="C104" s="57" t="str">
        <f>CONCATENATE(A104,B104)</f>
        <v>104 - Estágio de Prevenção de Acidentes com Motocicletas - EPAM, fora da sede,</v>
      </c>
    </row>
    <row r="105" spans="1:3" ht="13.5" customHeight="1">
      <c r="A105" s="56" t="s">
        <v>629</v>
      </c>
      <c r="B105" s="57" t="s">
        <v>630</v>
      </c>
      <c r="C105" s="57" t="str">
        <f>CONCATENATE(A105,B105)</f>
        <v>105 - Estágio de Reconhecimento e Vigilância de Inteligência, no 6º BIM;</v>
      </c>
    </row>
    <row r="106" spans="1:3" ht="13.5" customHeight="1">
      <c r="A106" s="56" t="s">
        <v>631</v>
      </c>
      <c r="B106" s="57" t="s">
        <v>632</v>
      </c>
      <c r="C106" s="57" t="str">
        <f>CONCATENATE(A106,B106)</f>
        <v>106 - Estágio do Sistema de Aeronaves Remotamente Pilotada, no 6º BIM,</v>
      </c>
    </row>
    <row r="107" spans="1:3" ht="13.5" customHeight="1">
      <c r="A107" s="56" t="s">
        <v>633</v>
      </c>
      <c r="B107" s="57" t="s">
        <v>634</v>
      </c>
      <c r="C107" s="57" t="str">
        <f>CONCATENATE(A107,B107)</f>
        <v>107 - Estágio Preparatório de Corpo de Tropa;</v>
      </c>
    </row>
    <row r="108" spans="1:3" ht="13.5" customHeight="1">
      <c r="A108" s="56" t="s">
        <v>635</v>
      </c>
      <c r="B108" s="57" t="s">
        <v>636</v>
      </c>
      <c r="C108" s="57" t="str">
        <f>CONCATENATE(A108,B108)</f>
        <v>108 - Estágio Setorial de OCA-COTER;</v>
      </c>
    </row>
    <row r="109" spans="1:3" ht="13.5" customHeight="1">
      <c r="A109" s="56" t="s">
        <v>637</v>
      </c>
      <c r="B109" s="57" t="s">
        <v>638</v>
      </c>
      <c r="C109" s="57" t="str">
        <f>CONCATENATE(A109,B109)</f>
        <v>109 - Evacuações médicas de pacientes ao HMAPA, HGSM e HGuA,</v>
      </c>
    </row>
    <row r="110" spans="1:3" ht="13.5" customHeight="1">
      <c r="A110" s="56" t="s">
        <v>639</v>
      </c>
      <c r="B110" s="57" t="s">
        <v>640</v>
      </c>
      <c r="C110" s="57" t="str">
        <f>CONCATENATE(A110,B110)</f>
        <v>110 - Eventos Oficiais de passagem de Comando e Aniversário de G Cmdo, GU e OM;</v>
      </c>
    </row>
    <row r="111" spans="1:3" ht="13.5" customHeight="1">
      <c r="A111" s="56" t="s">
        <v>641</v>
      </c>
      <c r="B111" s="57" t="s">
        <v>642</v>
      </c>
      <c r="C111" s="57" t="str">
        <f>CONCATENATE(A111,B111)</f>
        <v>111 - Exercício Araucária;</v>
      </c>
    </row>
    <row r="112" spans="1:3" ht="13.5" customHeight="1">
      <c r="A112" s="56" t="s">
        <v>643</v>
      </c>
      <c r="B112" s="57" t="s">
        <v>644</v>
      </c>
      <c r="C112" s="57" t="str">
        <f>CONCATENATE(A112,B112)</f>
        <v>112 - Exercício Cavalo de Troia,</v>
      </c>
    </row>
    <row r="113" spans="1:3" ht="13.5" customHeight="1">
      <c r="A113" s="56" t="s">
        <v>645</v>
      </c>
      <c r="B113" s="57" t="s">
        <v>646</v>
      </c>
      <c r="C113" s="57" t="str">
        <f>CONCATENATE(A113,B113)</f>
        <v>113 - Exercício Colimação – ForPron,</v>
      </c>
    </row>
    <row r="114" spans="1:3" ht="13.5" customHeight="1">
      <c r="A114" s="56" t="s">
        <v>647</v>
      </c>
      <c r="B114" s="57" t="s">
        <v>648</v>
      </c>
      <c r="C114" s="57" t="str">
        <f>CONCATENATE(A114,B114)</f>
        <v>114 - Exercício Combinado Paraná IV;</v>
      </c>
    </row>
    <row r="115" spans="1:3" ht="13.5" customHeight="1">
      <c r="A115" s="56" t="s">
        <v>649</v>
      </c>
      <c r="B115" s="57" t="s">
        <v>650</v>
      </c>
      <c r="C115" s="57" t="str">
        <f>CONCATENATE(A115,B115)</f>
        <v>115 - Exercício Conjunto Operação ATLAS 2025,</v>
      </c>
    </row>
    <row r="116" spans="1:3" ht="13.5" customHeight="1">
      <c r="A116" s="56" t="s">
        <v>651</v>
      </c>
      <c r="B116" s="57" t="s">
        <v>652</v>
      </c>
      <c r="C116" s="57" t="str">
        <f>CONCATENATE(A116,B116)</f>
        <v>116 - Exercício de Adestramento com Simulação Construtiva,</v>
      </c>
    </row>
    <row r="117" spans="1:3" ht="13.5" customHeight="1">
      <c r="A117" s="56" t="s">
        <v>653</v>
      </c>
      <c r="B117" s="57" t="s">
        <v>654</v>
      </c>
      <c r="C117" s="57" t="str">
        <f>CONCATENATE(A117,B117)</f>
        <v>117 - Exercício de Adestramento com Simulação Viva Certificação da FORPRON,</v>
      </c>
    </row>
    <row r="118" spans="1:3" ht="13.5" customHeight="1">
      <c r="A118" s="56" t="s">
        <v>655</v>
      </c>
      <c r="B118" s="57" t="s">
        <v>656</v>
      </c>
      <c r="C118" s="57" t="str">
        <f>CONCATENATE(A118,B118)</f>
        <v>118 - Exercício de Adestramento da Artilharia Antiaérea - Exercício SAGITTA PRIMUS SAICĂ,</v>
      </c>
    </row>
    <row r="119" spans="1:3" ht="13.5" customHeight="1">
      <c r="A119" s="56" t="s">
        <v>657</v>
      </c>
      <c r="B119" s="57" t="s">
        <v>658</v>
      </c>
      <c r="C119" s="57" t="str">
        <f>CONCATENATE(A119,B119)</f>
        <v>119 - Exercício de Campanha Adestramento Reserva e Mobilização,</v>
      </c>
    </row>
    <row r="120" spans="1:3" ht="13.5" customHeight="1">
      <c r="A120" s="56" t="s">
        <v>659</v>
      </c>
      <c r="B120" s="57" t="s">
        <v>660</v>
      </c>
      <c r="C120" s="57" t="str">
        <f>CONCATENATE(A120,B120)</f>
        <v>120 - Exercício de Defesa Civil,</v>
      </c>
    </row>
    <row r="121" spans="1:3" ht="13.5" customHeight="1">
      <c r="A121" s="56" t="s">
        <v>661</v>
      </c>
      <c r="B121" s="57" t="s">
        <v>662</v>
      </c>
      <c r="C121" s="57" t="str">
        <f>CONCATENATE(A121,B121)</f>
        <v>121 - Exercício de Formação Observador e Controladores do Adestramento (OCA) - GU/G Cmdo Art,</v>
      </c>
    </row>
    <row r="122" spans="1:3" ht="13.5" customHeight="1">
      <c r="A122" s="56" t="s">
        <v>663</v>
      </c>
      <c r="B122" s="57" t="s">
        <v>664</v>
      </c>
      <c r="C122" s="57" t="str">
        <f>CONCATENATE(A122,B122)</f>
        <v>122 - Exercício de PO - 5ª DE;</v>
      </c>
    </row>
    <row r="123" spans="1:3" ht="13.5" customHeight="1">
      <c r="A123" s="56" t="s">
        <v>665</v>
      </c>
      <c r="B123" s="57" t="s">
        <v>666</v>
      </c>
      <c r="C123" s="57" t="str">
        <f>CONCATENATE(A123,B123)</f>
        <v>123 - Exercício de Posto de Comando com apoio de Simulação Construtiva,</v>
      </c>
    </row>
    <row r="124" spans="1:3" ht="13.5" customHeight="1">
      <c r="A124" s="56" t="s">
        <v>667</v>
      </c>
      <c r="B124" s="57" t="s">
        <v>668</v>
      </c>
      <c r="C124" s="57" t="str">
        <f>CONCATENATE(A124,B124)</f>
        <v>124 - Exercício Escudo Antiaéreo,</v>
      </c>
    </row>
    <row r="125" spans="1:3" ht="13.5" customHeight="1">
      <c r="A125" s="56" t="s">
        <v>669</v>
      </c>
      <c r="B125" s="57" t="s">
        <v>670</v>
      </c>
      <c r="C125" s="57" t="str">
        <f>CONCATENATE(A125,B125)</f>
        <v>125 - Exercício Guardião dos Campos,</v>
      </c>
    </row>
    <row r="126" spans="1:3" ht="13.5" customHeight="1">
      <c r="A126" s="56" t="s">
        <v>671</v>
      </c>
      <c r="B126" s="57" t="s">
        <v>672</v>
      </c>
      <c r="C126" s="57" t="str">
        <f>CONCATENATE(A126,B126)</f>
        <v>126 - Exercício no Terreno com execução de Tiro Real - Preparação CORE 25,</v>
      </c>
    </row>
    <row r="127" spans="1:3" ht="13.5" customHeight="1">
      <c r="A127" s="56" t="s">
        <v>673</v>
      </c>
      <c r="B127" s="57" t="s">
        <v>674</v>
      </c>
      <c r="C127" s="57" t="str">
        <f>CONCATENATE(A127,B127)</f>
        <v>127 - Exercício Operação BRIGADEIRO GURJÃO.</v>
      </c>
    </row>
    <row r="128" spans="1:3" ht="13.5" customHeight="1">
      <c r="A128" s="56" t="s">
        <v>675</v>
      </c>
      <c r="B128" s="57" t="s">
        <v>676</v>
      </c>
      <c r="C128" s="57" t="str">
        <f>CONCATENATE(A128,B128)</f>
        <v>128 - Exercício Operação Trovão,</v>
      </c>
    </row>
    <row r="129" spans="1:3" ht="13.5" customHeight="1">
      <c r="A129" s="56" t="s">
        <v>677</v>
      </c>
      <c r="B129" s="57" t="s">
        <v>678</v>
      </c>
      <c r="C129" s="57" t="str">
        <f>CONCATENATE(A129,B129)</f>
        <v>129 - Exercício Pantanal (CMO),</v>
      </c>
    </row>
    <row r="130" spans="1:3" ht="13.5" customHeight="1">
      <c r="A130" s="56" t="s">
        <v>679</v>
      </c>
      <c r="B130" s="57" t="s">
        <v>680</v>
      </c>
      <c r="C130" s="57" t="str">
        <f>CONCATENATE(A130,B130)</f>
        <v>130 - Exercício Santa Bárbara (2ª DE);</v>
      </c>
    </row>
    <row r="131" spans="1:3" ht="13.5" customHeight="1">
      <c r="A131" s="56" t="s">
        <v>681</v>
      </c>
      <c r="B131" s="57" t="s">
        <v>682</v>
      </c>
      <c r="C131" s="57" t="str">
        <f>CONCATENATE(A131,B131)</f>
        <v>131 - Exercício Santa Bárbara do Oeste (CMO);</v>
      </c>
    </row>
    <row r="132" spans="1:3" ht="13.5" customHeight="1">
      <c r="A132" s="56" t="s">
        <v>683</v>
      </c>
      <c r="B132" s="57" t="s">
        <v>684</v>
      </c>
      <c r="C132" s="57" t="str">
        <f>CONCATENATE(A132,B132)</f>
        <v>132 - EXPOEX,</v>
      </c>
    </row>
    <row r="133" spans="1:3" ht="13.5" customHeight="1">
      <c r="A133" s="56" t="s">
        <v>685</v>
      </c>
      <c r="B133" s="57" t="s">
        <v>686</v>
      </c>
      <c r="C133" s="57" t="str">
        <f>CONCATENATE(A133,B133)</f>
        <v>133 - ExPOEx, na Guarnição de Porto Alegre - RS,</v>
      </c>
    </row>
    <row r="134" spans="1:3" ht="13.5" customHeight="1">
      <c r="A134" s="56" t="s">
        <v>687</v>
      </c>
      <c r="B134" s="57" t="s">
        <v>688</v>
      </c>
      <c r="C134" s="57" t="str">
        <f>CONCATENATE(A134,B134)</f>
        <v>134 - Exposição de Blindados no Parque da Oktoberfest.</v>
      </c>
    </row>
    <row r="135" spans="1:3" ht="13.5" customHeight="1">
      <c r="A135" s="56" t="s">
        <v>689</v>
      </c>
      <c r="B135" s="57" t="s">
        <v>690</v>
      </c>
      <c r="C135" s="57" t="str">
        <f>CONCATENATE(A135,B135)</f>
        <v>135 - Exposição do Exército (EXPOEX);</v>
      </c>
    </row>
    <row r="136" spans="1:3" ht="13.5" customHeight="1">
      <c r="A136" s="56" t="s">
        <v>691</v>
      </c>
      <c r="B136" s="57" t="s">
        <v>692</v>
      </c>
      <c r="C136" s="57" t="str">
        <f>CONCATENATE(A136,B136)</f>
        <v>136 - Inspeção Anual de Munição do Exército (IAMEx);</v>
      </c>
    </row>
    <row r="137" spans="1:3" ht="13.5" customHeight="1">
      <c r="A137" s="56" t="s">
        <v>693</v>
      </c>
      <c r="B137" s="57" t="s">
        <v>694</v>
      </c>
      <c r="C137" s="57" t="str">
        <f>CONCATENATE(A137,B137)</f>
        <v>137 - Inspeção Anual de Uniformes do Exército (IAUEx);</v>
      </c>
    </row>
    <row r="138" spans="1:3" ht="13.5" customHeight="1">
      <c r="A138" s="56" t="s">
        <v>695</v>
      </c>
      <c r="B138" s="57" t="s">
        <v>696</v>
      </c>
      <c r="C138" s="57" t="str">
        <f>CONCATENATE(A138,B138)</f>
        <v>138 - Inspeção de Comando;</v>
      </c>
    </row>
    <row r="139" spans="1:3" ht="13.5" customHeight="1">
      <c r="A139" s="56" t="s">
        <v>697</v>
      </c>
      <c r="B139" s="57" t="s">
        <v>698</v>
      </c>
      <c r="C139" s="57" t="str">
        <f>CONCATENATE(A139,B139)</f>
        <v>139 - Inspeção de Orientação Técnica,</v>
      </c>
    </row>
    <row r="140" spans="1:3" ht="13.5" customHeight="1">
      <c r="A140" s="56" t="s">
        <v>699</v>
      </c>
      <c r="B140" s="57" t="s">
        <v>700</v>
      </c>
      <c r="C140" s="57" t="str">
        <f>CONCATENATE(A140,B140)</f>
        <v>140 - Inspeção Logística;</v>
      </c>
    </row>
    <row r="141" spans="1:3" ht="13.5" customHeight="1">
      <c r="A141" s="56" t="s">
        <v>701</v>
      </c>
      <c r="B141" s="57" t="s">
        <v>702</v>
      </c>
      <c r="C141" s="57" t="str">
        <f>CONCATENATE(A141,B141)</f>
        <v>141 - Inspeção Logística/Administrativa - G Cmdo/GU - fora da sede;</v>
      </c>
    </row>
    <row r="142" spans="1:3" ht="13.5" customHeight="1">
      <c r="A142" s="56" t="s">
        <v>703</v>
      </c>
      <c r="B142" s="57" t="s">
        <v>704</v>
      </c>
      <c r="C142" s="57" t="str">
        <f>CONCATENATE(A142,B142)</f>
        <v>142 - Instrução de Cavalariça e Ferradoria,</v>
      </c>
    </row>
    <row r="143" spans="1:3" ht="13.5" customHeight="1">
      <c r="A143" s="56" t="s">
        <v>705</v>
      </c>
      <c r="B143" s="57" t="s">
        <v>706</v>
      </c>
      <c r="C143" s="57" t="str">
        <f>CONCATENATE(A143,B143)</f>
        <v>143 - Instrução de Nivelamento e Procedimentos de C2,</v>
      </c>
    </row>
    <row r="144" spans="1:3" ht="13.5" customHeight="1">
      <c r="A144" s="56" t="s">
        <v>707</v>
      </c>
      <c r="B144" s="57" t="s">
        <v>708</v>
      </c>
      <c r="C144" s="57" t="str">
        <f>CONCATENATE(A144,B144)</f>
        <v>144 - Instrução de Nivelamento e Procedimentos de Instrução de Blindados,</v>
      </c>
    </row>
    <row r="145" spans="1:3" ht="13.5" customHeight="1">
      <c r="A145" s="56" t="s">
        <v>709</v>
      </c>
      <c r="B145" s="57" t="s">
        <v>710</v>
      </c>
      <c r="C145" s="57" t="str">
        <f>CONCATENATE(A145,B145)</f>
        <v>145 - Instrução de Nivelamento e Procedimentos de Pel Mrt P das GU,</v>
      </c>
    </row>
    <row r="146" spans="1:3" ht="13.5" customHeight="1">
      <c r="A146" s="56" t="s">
        <v>711</v>
      </c>
      <c r="B146" s="57" t="s">
        <v>712</v>
      </c>
      <c r="C146" s="57" t="str">
        <f>CONCATENATE(A146,B146)</f>
        <v>146 - Instrução de Turma de Levantamento e Destruição de Fogos (TULEDEF);</v>
      </c>
    </row>
    <row r="147" spans="1:3" ht="13.5" customHeight="1">
      <c r="A147" s="56" t="s">
        <v>713</v>
      </c>
      <c r="B147" s="57" t="s">
        <v>714</v>
      </c>
      <c r="C147" s="57" t="str">
        <f>CONCATENATE(A147,B147)</f>
        <v>147 - Instrução Individual Básica - Campo da IIB - fora da sede;</v>
      </c>
    </row>
    <row r="148" spans="1:3" ht="13.5" customHeight="1">
      <c r="A148" s="56" t="s">
        <v>715</v>
      </c>
      <c r="B148" s="57" t="s">
        <v>716</v>
      </c>
      <c r="C148" s="57" t="str">
        <f>CONCATENATE(A148,B148)</f>
        <v>148 - Instrução Individual de Qualificação, fora da sede;</v>
      </c>
    </row>
    <row r="149" spans="1:3" ht="13.5" customHeight="1">
      <c r="A149" s="56" t="s">
        <v>717</v>
      </c>
      <c r="B149" s="57" t="s">
        <v>718</v>
      </c>
      <c r="C149" s="57" t="str">
        <f>CONCATENATE(A149,B149)</f>
        <v>149 - Instrução Individual de Requalificação e Nivelamento de Cb/Sd - fora da sede;</v>
      </c>
    </row>
    <row r="150" spans="1:3" ht="13.5" customHeight="1">
      <c r="A150" s="56" t="s">
        <v>719</v>
      </c>
      <c r="B150" s="57" t="s">
        <v>720</v>
      </c>
      <c r="C150" s="57" t="str">
        <f>CONCATENATE(A150,B150)</f>
        <v>150 - Instrução Técnica Sml MsI BIB/RCC conduzida pelo CTEX,</v>
      </c>
    </row>
    <row r="151" spans="1:3" ht="13.5" customHeight="1">
      <c r="A151" s="56" t="s">
        <v>721</v>
      </c>
      <c r="B151" s="57" t="s">
        <v>722</v>
      </c>
      <c r="C151" s="57" t="str">
        <f>CONCATENATE(A151,B151)</f>
        <v>151 - Jogos de Guerra - Operação FOGO,</v>
      </c>
    </row>
    <row r="152" spans="1:3" ht="13.5" customHeight="1">
      <c r="A152" s="56" t="s">
        <v>723</v>
      </c>
      <c r="B152" s="57" t="s">
        <v>724</v>
      </c>
      <c r="C152" s="57" t="str">
        <f>CONCATENATE(A152,B152)</f>
        <v>152 - Manobra Escolar da AMAN,</v>
      </c>
    </row>
    <row r="153" spans="1:3" ht="13.5" customHeight="1">
      <c r="A153" s="56" t="s">
        <v>725</v>
      </c>
      <c r="B153" s="57" t="s">
        <v>726</v>
      </c>
      <c r="C153" s="57" t="str">
        <f>CONCATENATE(A153,B153)</f>
        <v>153 - Missão de apoio de Saúde em localidades, fora da sede, - Apoio de saúde às Comissões de</v>
      </c>
    </row>
    <row r="154" spans="1:3" ht="13.5" customHeight="1">
      <c r="A154" s="56" t="s">
        <v>727</v>
      </c>
      <c r="B154" s="57" t="s">
        <v>728</v>
      </c>
      <c r="C154" s="57" t="str">
        <f>CONCATENATE(A154,B154)</f>
        <v>154 - OLIMBLIND para 5º Bda C Bld;</v>
      </c>
    </row>
    <row r="155" spans="1:3" ht="13.5" customHeight="1">
      <c r="A155" s="56" t="s">
        <v>729</v>
      </c>
      <c r="B155" s="57" t="s">
        <v>730</v>
      </c>
      <c r="C155" s="57" t="str">
        <f>CONCATENATE(A155,B155)</f>
        <v>155 - Op Guardião dos Campos - PAA 5ª DE (Cascavel-PR)</v>
      </c>
    </row>
    <row r="156" spans="1:3" ht="13.5" customHeight="1">
      <c r="A156" s="56" t="s">
        <v>731</v>
      </c>
      <c r="B156" s="57" t="s">
        <v>732</v>
      </c>
      <c r="C156" s="57" t="str">
        <f>CONCATENATE(A156,B156)</f>
        <v>156 - Op Sentinela (ELD IIQ - Angelina-SC)</v>
      </c>
    </row>
    <row r="157" spans="1:3" ht="13.5" customHeight="1">
      <c r="A157" s="56" t="s">
        <v>733</v>
      </c>
      <c r="B157" s="57" t="s">
        <v>734</v>
      </c>
      <c r="C157" s="57" t="str">
        <f>CONCATENATE(A157,B157)</f>
        <v>157 - Op Silva Paes - PAA 14º Bda Inf Mtz (Três Barras-SC)</v>
      </c>
    </row>
    <row r="158" spans="1:3" ht="13.5" customHeight="1">
      <c r="A158" s="56" t="s">
        <v>735</v>
      </c>
      <c r="B158" s="57" t="s">
        <v>736</v>
      </c>
      <c r="C158" s="57" t="str">
        <f>CONCATENATE(A158,B158)</f>
        <v>158 - Operação AÇO,</v>
      </c>
    </row>
    <row r="159" spans="1:3" ht="13.5" customHeight="1">
      <c r="A159" s="56" t="s">
        <v>737</v>
      </c>
      <c r="B159" s="57" t="s">
        <v>738</v>
      </c>
      <c r="C159" s="57" t="str">
        <f>CONCATENATE(A159,B159)</f>
        <v>159 - Operação Ágata,</v>
      </c>
    </row>
    <row r="160" spans="1:3" ht="13.5" customHeight="1">
      <c r="A160" s="56" t="s">
        <v>739</v>
      </c>
      <c r="B160" s="57" t="s">
        <v>740</v>
      </c>
      <c r="C160" s="57" t="str">
        <f>CONCATENATE(A160,B160)</f>
        <v>160 - Operação ARANDU,</v>
      </c>
    </row>
    <row r="161" spans="1:3" ht="13.5" customHeight="1">
      <c r="A161" s="56" t="s">
        <v>741</v>
      </c>
      <c r="B161" s="57" t="s">
        <v>742</v>
      </c>
      <c r="C161" s="57" t="str">
        <f>CONCATENATE(A161,B161)</f>
        <v>161 - Operação Azul Turquesa;</v>
      </c>
    </row>
    <row r="162" spans="1:3" ht="13.5" customHeight="1">
      <c r="A162" s="56" t="s">
        <v>743</v>
      </c>
      <c r="B162" s="57" t="s">
        <v>744</v>
      </c>
      <c r="C162" s="57" t="str">
        <f>CONCATENATE(A162,B162)</f>
        <v>162 - Operação Boina Preta (GU/G Cmdo Art/OMDS);</v>
      </c>
    </row>
    <row r="163" spans="1:3" ht="13.5" customHeight="1">
      <c r="A163" s="56" t="s">
        <v>745</v>
      </c>
      <c r="B163" s="57" t="s">
        <v>746</v>
      </c>
      <c r="C163" s="57" t="str">
        <f>CONCATENATE(A163,B163)</f>
        <v>163 - Operação Boina Verde (GU/G Cmdo Art/OMDS);</v>
      </c>
    </row>
    <row r="164" spans="1:3" ht="13.5" customHeight="1">
      <c r="A164" s="56" t="s">
        <v>747</v>
      </c>
      <c r="B164" s="57" t="s">
        <v>748</v>
      </c>
      <c r="C164" s="57" t="str">
        <f>CONCATENATE(A164,B164)</f>
        <v>164 - Operação Bormann - 5ª DE;</v>
      </c>
    </row>
    <row r="165" spans="1:3" ht="13.5" customHeight="1">
      <c r="A165" s="56" t="s">
        <v>749</v>
      </c>
      <c r="B165" s="57" t="s">
        <v>750</v>
      </c>
      <c r="C165" s="57" t="str">
        <f>CONCATENATE(A165,B165)</f>
        <v>165 - Operação Braçal;</v>
      </c>
    </row>
    <row r="166" spans="1:3" ht="13.5" customHeight="1">
      <c r="A166" s="56" t="s">
        <v>751</v>
      </c>
      <c r="B166" s="57" t="s">
        <v>752</v>
      </c>
      <c r="C166" s="57" t="str">
        <f>CONCATENATE(A166,B166)</f>
        <v>166 - Operação BRIGADEIRO GURJÃO,</v>
      </c>
    </row>
    <row r="167" spans="1:3" ht="13.5" customHeight="1">
      <c r="A167" s="56" t="s">
        <v>753</v>
      </c>
      <c r="B167" s="57" t="s">
        <v>754</v>
      </c>
      <c r="C167" s="57" t="str">
        <f>CONCATENATE(A167,B167)</f>
        <v>167 - Operação CADEADO;</v>
      </c>
    </row>
    <row r="168" spans="1:3" ht="13.5" customHeight="1">
      <c r="A168" s="56" t="s">
        <v>755</v>
      </c>
      <c r="B168" s="57" t="s">
        <v>756</v>
      </c>
      <c r="C168" s="57" t="str">
        <f>CONCATENATE(A168,B168)</f>
        <v>168 - Operação Campos Gerais,</v>
      </c>
    </row>
    <row r="169" spans="1:3" ht="13.5" customHeight="1">
      <c r="A169" s="56" t="s">
        <v>757</v>
      </c>
      <c r="B169" s="57" t="s">
        <v>758</v>
      </c>
      <c r="C169" s="57" t="str">
        <f>CONCATENATE(A169,B169)</f>
        <v>169 - Operação Capitão JOSÉ PESSOA,</v>
      </c>
    </row>
    <row r="170" spans="1:3" ht="13.5" customHeight="1">
      <c r="A170" s="56" t="s">
        <v>759</v>
      </c>
      <c r="B170" s="57" t="s">
        <v>760</v>
      </c>
      <c r="C170" s="57" t="str">
        <f>CONCATENATE(A170,B170)</f>
        <v>170 - Operação CATRIMANI I,</v>
      </c>
    </row>
    <row r="171" spans="1:3" ht="13.5" customHeight="1">
      <c r="A171" s="56" t="s">
        <v>761</v>
      </c>
      <c r="B171" s="57" t="s">
        <v>762</v>
      </c>
      <c r="C171" s="57" t="str">
        <f>CONCATENATE(A171,B171)</f>
        <v>171 - Operação Centurião,</v>
      </c>
    </row>
    <row r="172" spans="1:3" ht="13.5" customHeight="1">
      <c r="A172" s="56" t="s">
        <v>763</v>
      </c>
      <c r="B172" s="57" t="s">
        <v>764</v>
      </c>
      <c r="C172" s="57" t="str">
        <f>CONCATENATE(A172,B172)</f>
        <v>172 - Operação CHARRUA,</v>
      </c>
    </row>
    <row r="173" spans="1:3" ht="13.5" customHeight="1">
      <c r="A173" s="56" t="s">
        <v>765</v>
      </c>
      <c r="B173" s="57" t="s">
        <v>766</v>
      </c>
      <c r="C173" s="57" t="str">
        <f>CONCATENATE(A173,B173)</f>
        <v>173 - Operação Controle,</v>
      </c>
    </row>
    <row r="174" spans="1:3" ht="13.5" customHeight="1">
      <c r="A174" s="56" t="s">
        <v>767</v>
      </c>
      <c r="B174" s="57" t="s">
        <v>768</v>
      </c>
      <c r="C174" s="57" t="str">
        <f>CONCATENATE(A174,B174)</f>
        <v>174 - Operação CORE 25,</v>
      </c>
    </row>
    <row r="175" spans="1:3" ht="13.5" customHeight="1">
      <c r="A175" s="56" t="s">
        <v>769</v>
      </c>
      <c r="B175" s="57" t="s">
        <v>770</v>
      </c>
      <c r="C175" s="57" t="str">
        <f>CONCATENATE(A175,B175)</f>
        <v>175 - Operação COXILHA,</v>
      </c>
    </row>
    <row r="176" spans="1:3" ht="13.5" customHeight="1">
      <c r="A176" s="56" t="s">
        <v>771</v>
      </c>
      <c r="B176" s="57" t="s">
        <v>772</v>
      </c>
      <c r="C176" s="57" t="str">
        <f>CONCATENATE(A176,B176)</f>
        <v>176 - Operação de Ajuda Humanitária,</v>
      </c>
    </row>
    <row r="177" spans="1:3" ht="13.5" customHeight="1">
      <c r="A177" s="56" t="s">
        <v>773</v>
      </c>
      <c r="B177" s="57" t="s">
        <v>774</v>
      </c>
      <c r="C177" s="57" t="str">
        <f>CONCATENATE(A177,B177)</f>
        <v>177 - Operação de Faro com Cães de Guerrа,</v>
      </c>
    </row>
    <row r="178" spans="1:3" ht="13.5" customHeight="1">
      <c r="A178" s="56" t="s">
        <v>775</v>
      </c>
      <c r="B178" s="57" t="s">
        <v>776</v>
      </c>
      <c r="C178" s="57" t="str">
        <f>CONCATENATE(A178,B178)</f>
        <v>178 - Operação DIVISA SEGURA;</v>
      </c>
    </row>
    <row r="179" spans="1:3" ht="13.5" customHeight="1">
      <c r="A179" s="56" t="s">
        <v>777</v>
      </c>
      <c r="B179" s="57" t="s">
        <v>778</v>
      </c>
      <c r="C179" s="57" t="str">
        <f>CONCATENATE(A179,B179)</f>
        <v>179 - Operação Engenheiro de Aço - PAA 4° Gpt E,</v>
      </c>
    </row>
    <row r="180" spans="1:3" ht="13.5" customHeight="1">
      <c r="A180" s="56" t="s">
        <v>779</v>
      </c>
      <c r="B180" s="57" t="s">
        <v>780</v>
      </c>
      <c r="C180" s="57" t="str">
        <f>CONCATENATE(A180,B180)</f>
        <v>180 - Operação FOGO,</v>
      </c>
    </row>
    <row r="181" spans="1:3" ht="13.5" customHeight="1">
      <c r="A181" s="56" t="s">
        <v>781</v>
      </c>
      <c r="B181" s="57" t="s">
        <v>782</v>
      </c>
      <c r="C181" s="57" t="str">
        <f>CONCATENATE(A181,B181)</f>
        <v>181 - Operação FRONTEIRA SUL;</v>
      </c>
    </row>
    <row r="182" spans="1:3" ht="13.5" customHeight="1">
      <c r="A182" s="56" t="s">
        <v>783</v>
      </c>
      <c r="B182" s="57" t="s">
        <v>784</v>
      </c>
      <c r="C182" s="57" t="str">
        <f>CONCATENATE(A182,B182)</f>
        <v>182 - Operação FURACÃO;</v>
      </c>
    </row>
    <row r="183" spans="1:3" ht="13.5" customHeight="1">
      <c r="A183" s="56" t="s">
        <v>785</v>
      </c>
      <c r="B183" s="57" t="s">
        <v>786</v>
      </c>
      <c r="C183" s="57" t="str">
        <f>CONCATENATE(A183,B183)</f>
        <v>183 - Operação Gralha Azul;</v>
      </c>
    </row>
    <row r="184" spans="1:3" ht="13.5" customHeight="1">
      <c r="A184" s="56" t="s">
        <v>787</v>
      </c>
      <c r="B184" s="57" t="s">
        <v>788</v>
      </c>
      <c r="C184" s="57" t="str">
        <f>CONCATENATE(A184,B184)</f>
        <v>184 - Operação Guaíba,</v>
      </c>
    </row>
    <row r="185" spans="1:3" ht="13.5" customHeight="1">
      <c r="A185" s="56" t="s">
        <v>789</v>
      </c>
      <c r="B185" s="57" t="s">
        <v>790</v>
      </c>
      <c r="C185" s="57" t="str">
        <f>CONCATENATE(A185,B185)</f>
        <v>185 - Operação Hórus (Faixa de Fronteira).</v>
      </c>
    </row>
    <row r="186" spans="1:3" ht="13.5" customHeight="1">
      <c r="A186" s="56" t="s">
        <v>791</v>
      </c>
      <c r="B186" s="57" t="s">
        <v>792</v>
      </c>
      <c r="C186" s="57" t="str">
        <f>CONCATENATE(A186,B186)</f>
        <v>186 - Operação IBICUÍ,</v>
      </c>
    </row>
    <row r="187" spans="1:3" ht="13.5" customHeight="1">
      <c r="A187" s="56" t="s">
        <v>793</v>
      </c>
      <c r="B187" s="57" t="s">
        <v>794</v>
      </c>
      <c r="C187" s="57" t="str">
        <f>CONCATENATE(A187,B187)</f>
        <v>187 - Operação IMEMBUI,</v>
      </c>
    </row>
    <row r="188" spans="1:3" ht="13.5" customHeight="1">
      <c r="A188" s="56" t="s">
        <v>795</v>
      </c>
      <c r="B188" s="57" t="s">
        <v>796</v>
      </c>
      <c r="C188" s="57" t="str">
        <f>CONCATENATE(A188,B188)</f>
        <v>188 - Operação Itaipu,</v>
      </c>
    </row>
    <row r="189" spans="1:3" ht="13.5" customHeight="1">
      <c r="A189" s="56" t="s">
        <v>797</v>
      </c>
      <c r="B189" s="57" t="s">
        <v>798</v>
      </c>
      <c r="C189" s="57" t="str">
        <f>CONCATENATE(A189,B189)</f>
        <v>189 - Operação LANÇA DE OSÓRIO (SNAPAC);</v>
      </c>
    </row>
    <row r="190" spans="1:3" ht="13.5" customHeight="1">
      <c r="A190" s="56" t="s">
        <v>799</v>
      </c>
      <c r="B190" s="57" t="s">
        <v>800</v>
      </c>
      <c r="C190" s="57" t="str">
        <f>CONCATENATE(A190,B190)</f>
        <v>190 - Operação MANOTAÇO,</v>
      </c>
    </row>
    <row r="191" spans="1:3" ht="13.5" customHeight="1">
      <c r="A191" s="56" t="s">
        <v>801</v>
      </c>
      <c r="B191" s="57" t="s">
        <v>802</v>
      </c>
      <c r="C191" s="57" t="str">
        <f>CONCATENATE(A191,B191)</f>
        <v>191 - Operação MARTE;</v>
      </c>
    </row>
    <row r="192" spans="1:3" ht="13.5" customHeight="1">
      <c r="A192" s="56" t="s">
        <v>803</v>
      </c>
      <c r="B192" s="57" t="s">
        <v>804</v>
      </c>
      <c r="C192" s="57" t="str">
        <f>CONCATENATE(A192,B192)</f>
        <v>192 - Operação MENNA BARRETO,</v>
      </c>
    </row>
    <row r="193" spans="1:3" ht="13.5" customHeight="1">
      <c r="A193" s="56" t="s">
        <v>805</v>
      </c>
      <c r="B193" s="57" t="s">
        <v>806</v>
      </c>
      <c r="C193" s="57" t="str">
        <f>CONCATENATE(A193,B193)</f>
        <v>193 - Operação MINUANO;</v>
      </c>
    </row>
    <row r="194" spans="1:3" ht="13.5" customHeight="1">
      <c r="A194" s="56" t="s">
        <v>807</v>
      </c>
      <c r="B194" s="57" t="s">
        <v>808</v>
      </c>
      <c r="C194" s="57" t="str">
        <f>CONCATENATE(A194,B194)</f>
        <v>194 - Operação NIEDERAUER,</v>
      </c>
    </row>
    <row r="195" spans="1:3" ht="13.5" customHeight="1">
      <c r="A195" s="56" t="s">
        <v>809</v>
      </c>
      <c r="B195" s="57" t="s">
        <v>810</v>
      </c>
      <c r="C195" s="57" t="str">
        <f>CONCATENATE(A195,B195)</f>
        <v>195 - Operação PASSO DA PÁTRIA;</v>
      </c>
    </row>
    <row r="196" spans="1:3" ht="13.5" customHeight="1">
      <c r="A196" s="56" t="s">
        <v>811</v>
      </c>
      <c r="B196" s="57" t="s">
        <v>812</v>
      </c>
      <c r="C196" s="57" t="str">
        <f>CONCATENATE(A196,B196)</f>
        <v>196 - Operação Perseu,</v>
      </c>
    </row>
    <row r="197" spans="1:3" ht="13.5" customHeight="1">
      <c r="A197" s="56" t="s">
        <v>813</v>
      </c>
      <c r="B197" s="57" t="s">
        <v>814</v>
      </c>
      <c r="C197" s="57" t="str">
        <f>CONCATENATE(A197,B197)</f>
        <v>197 - Operação PROTEÇÃO,</v>
      </c>
    </row>
    <row r="198" spans="1:3" ht="13.5" customHeight="1">
      <c r="A198" s="56" t="s">
        <v>815</v>
      </c>
      <c r="B198" s="57" t="s">
        <v>816</v>
      </c>
      <c r="C198" s="57" t="str">
        <f>CONCATENATE(A198,B198)</f>
        <v>198 - Operação PUGNATUM,</v>
      </c>
    </row>
    <row r="199" spans="1:3" ht="13.5" customHeight="1">
      <c r="A199" s="56" t="s">
        <v>817</v>
      </c>
      <c r="B199" s="57" t="s">
        <v>818</v>
      </c>
      <c r="C199" s="57" t="str">
        <f>CONCATENATE(A199,B199)</f>
        <v>199 - Operação PUNHOS DE AÇO;</v>
      </c>
    </row>
    <row r="200" spans="1:3" ht="13.5" customHeight="1">
      <c r="A200" s="56" t="s">
        <v>819</v>
      </c>
      <c r="B200" s="57" t="s">
        <v>820</v>
      </c>
      <c r="C200" s="57" t="str">
        <f>CONCATENATE(A200,B200)</f>
        <v>200 - Operação Relâmpago Norte;</v>
      </c>
    </row>
    <row r="201" spans="1:3" ht="13.5" customHeight="1">
      <c r="A201" s="56" t="s">
        <v>821</v>
      </c>
      <c r="B201" s="57" t="s">
        <v>822</v>
      </c>
      <c r="C201" s="57" t="str">
        <f>CONCATENATE(A201,B201)</f>
        <v>201 - Operação Retomada,</v>
      </c>
    </row>
    <row r="202" spans="1:3" ht="13.5" customHeight="1">
      <c r="A202" s="56" t="s">
        <v>823</v>
      </c>
      <c r="B202" s="57" t="s">
        <v>824</v>
      </c>
      <c r="C202" s="57" t="str">
        <f>CONCATENATE(A202,B202)</f>
        <v>202 - Operação SAICĂ,</v>
      </c>
    </row>
    <row r="203" spans="1:3" ht="13.5" customHeight="1">
      <c r="A203" s="56" t="s">
        <v>825</v>
      </c>
      <c r="B203" s="57" t="s">
        <v>826</v>
      </c>
      <c r="C203" s="57" t="str">
        <f>CONCATENATE(A203,B203)</f>
        <v>203 - Operação SALOMÃO DA ROCHA,</v>
      </c>
    </row>
    <row r="204" spans="1:3" ht="13.5" customHeight="1">
      <c r="A204" s="56" t="s">
        <v>827</v>
      </c>
      <c r="B204" s="57" t="s">
        <v>828</v>
      </c>
      <c r="C204" s="57" t="str">
        <f>CONCATENATE(A204,B204)</f>
        <v>204 - Operação SETEMBRINO DE CARVALHO,</v>
      </c>
    </row>
    <row r="205" spans="1:3" ht="13.5" customHeight="1">
      <c r="A205" s="56" t="s">
        <v>829</v>
      </c>
      <c r="B205" s="57" t="s">
        <v>830</v>
      </c>
      <c r="C205" s="57" t="str">
        <f>CONCATENATE(A205,B205)</f>
        <v>205 - Operação Silva Paes:</v>
      </c>
    </row>
    <row r="206" spans="1:3" ht="13.5" customHeight="1">
      <c r="A206" s="56" t="s">
        <v>831</v>
      </c>
      <c r="B206" s="57" t="s">
        <v>832</v>
      </c>
      <c r="C206" s="57" t="str">
        <f>CONCATENATE(A206,B206)</f>
        <v>206 - Operação Sisson.- Operação Forja,</v>
      </c>
    </row>
    <row r="207" spans="1:3" ht="13.5" customHeight="1">
      <c r="A207" s="56" t="s">
        <v>833</v>
      </c>
      <c r="B207" s="57" t="s">
        <v>834</v>
      </c>
      <c r="C207" s="57" t="str">
        <f>CONCATENATE(A207,B207)</f>
        <v>207 - Operação Taquari.</v>
      </c>
    </row>
    <row r="208" spans="1:3" ht="13.5" customHeight="1">
      <c r="A208" s="56" t="s">
        <v>835</v>
      </c>
      <c r="B208" s="57" t="s">
        <v>836</v>
      </c>
      <c r="C208" s="57" t="str">
        <f>CONCATENATE(A208,B208)</f>
        <v>208 - Operação Vítoria,</v>
      </c>
    </row>
    <row r="209" spans="1:3" ht="13.5" customHeight="1">
      <c r="A209" s="56" t="s">
        <v>837</v>
      </c>
      <c r="B209" s="57" t="s">
        <v>838</v>
      </c>
      <c r="C209" s="57" t="str">
        <f>CONCATENATE(A209,B209)</f>
        <v>209 - PAB Pel (Angelina-SC)</v>
      </c>
    </row>
    <row r="210" spans="1:3" ht="13.5" customHeight="1">
      <c r="A210" s="56" t="s">
        <v>839</v>
      </c>
      <c r="B210" s="57" t="s">
        <v>840</v>
      </c>
      <c r="C210" s="57" t="str">
        <f>CONCATENATE(A210,B210)</f>
        <v>210 - PAB SU (Tubarão-SC)</v>
      </c>
    </row>
    <row r="211" spans="1:3" ht="13.5" customHeight="1">
      <c r="A211" s="56" t="s">
        <v>841</v>
      </c>
      <c r="B211" s="57" t="s">
        <v>842</v>
      </c>
      <c r="C211" s="57" t="str">
        <f>CONCATENATE(A211,B211)</f>
        <v>211 - Participação Competições Desportivas fora da sede,</v>
      </c>
    </row>
    <row r="212" spans="1:3" ht="13.5" customHeight="1">
      <c r="A212" s="56" t="s">
        <v>843</v>
      </c>
      <c r="B212" s="57" t="s">
        <v>844</v>
      </c>
      <c r="C212" s="57" t="str">
        <f>CONCATENATE(A212,B212)</f>
        <v>212 - Participação da Manobra Escolar da AMAN,</v>
      </c>
    </row>
    <row r="213" spans="1:3" ht="13.5" customHeight="1">
      <c r="A213" s="56" t="s">
        <v>845</v>
      </c>
      <c r="B213" s="57" t="s">
        <v>846</v>
      </c>
      <c r="C213" s="57" t="str">
        <f>CONCATENATE(A213,B213)</f>
        <v>213 - Participação da Manobra Escolar da EsSA/EsLog,</v>
      </c>
    </row>
    <row r="214" spans="1:3" ht="13.5" customHeight="1">
      <c r="A214" s="56" t="s">
        <v>847</v>
      </c>
      <c r="B214" s="57" t="s">
        <v>848</v>
      </c>
      <c r="C214" s="57" t="str">
        <f>CONCATENATE(A214,B214)</f>
        <v>214 - Participação em atividades de simpósios/seminários relativo a doutrina militar - fora da sede.</v>
      </c>
    </row>
    <row r="215" spans="1:3" ht="13.5" customHeight="1">
      <c r="A215" s="56" t="s">
        <v>849</v>
      </c>
      <c r="B215" s="57" t="s">
        <v>850</v>
      </c>
      <c r="C215" s="57" t="str">
        <f>CONCATENATE(A215,B215)</f>
        <v>215 - Participação em Concurso de Ordem Unida, fora de sua sede;</v>
      </c>
    </row>
    <row r="216" spans="1:3" ht="13.5" customHeight="1">
      <c r="A216" s="56" t="s">
        <v>851</v>
      </c>
      <c r="B216" s="57" t="s">
        <v>852</v>
      </c>
      <c r="C216" s="57" t="str">
        <f>CONCATENATE(A216,B216)</f>
        <v>216 - Participação em eventos culturais da Banda de Musica fora de sede.</v>
      </c>
    </row>
    <row r="217" spans="1:3" ht="13.5" customHeight="1">
      <c r="A217" s="56" t="s">
        <v>853</v>
      </c>
      <c r="B217" s="57" t="s">
        <v>854</v>
      </c>
      <c r="C217" s="57" t="str">
        <f>CONCATENATE(A217,B217)</f>
        <v>217 - Participação na Reunião de Comando do CMS,</v>
      </c>
    </row>
    <row r="218" spans="1:3" ht="13.5" customHeight="1">
      <c r="A218" s="56" t="s">
        <v>855</v>
      </c>
      <c r="B218" s="57" t="s">
        <v>856</v>
      </c>
      <c r="C218" s="57" t="str">
        <f>CONCATENATE(A218,B218)</f>
        <v>218 - participar de eventos da 3ª RM,</v>
      </c>
    </row>
    <row r="219" spans="1:3" ht="13.5" customHeight="1">
      <c r="A219" s="56" t="s">
        <v>857</v>
      </c>
      <c r="B219" s="57" t="s">
        <v>858</v>
      </c>
      <c r="C219" s="57" t="str">
        <f>CONCATENATE(A219,B219)</f>
        <v>219 - Passagem de Função de Adjunto de Comando,</v>
      </c>
    </row>
    <row r="220" spans="1:3" ht="13.5" customHeight="1">
      <c r="A220" s="56" t="s">
        <v>859</v>
      </c>
      <c r="B220" s="57" t="s">
        <v>860</v>
      </c>
      <c r="C220" s="57" t="str">
        <f>CONCATENATE(A220,B220)</f>
        <v>220 - Patrulha Patrimonial;</v>
      </c>
    </row>
    <row r="221" spans="1:3" ht="13.5" customHeight="1">
      <c r="A221" s="56" t="s">
        <v>861</v>
      </c>
      <c r="B221" s="57" t="s">
        <v>862</v>
      </c>
      <c r="C221" s="57" t="str">
        <f>CONCATENATE(A221,B221)</f>
        <v>221 - PCI NPOR (Blumenau-SC)</v>
      </c>
    </row>
    <row r="222" spans="1:3" ht="13.5" customHeight="1">
      <c r="A222" s="56" t="s">
        <v>863</v>
      </c>
      <c r="B222" s="57" t="s">
        <v>864</v>
      </c>
      <c r="C222" s="57" t="str">
        <f>CONCATENATE(A222,B222)</f>
        <v>222 - PCI NPOR (Tubarão-SC)</v>
      </c>
    </row>
    <row r="223" spans="1:3" ht="13.5" customHeight="1">
      <c r="A223" s="56" t="s">
        <v>865</v>
      </c>
      <c r="B223" s="57" t="s">
        <v>866</v>
      </c>
      <c r="C223" s="57" t="str">
        <f>CONCATENATE(A223,B223)</f>
        <v>223 - Pedido de Cooperação de Instrução (PCI), fora da sede,</v>
      </c>
    </row>
    <row r="224" spans="1:3" ht="13.5" customHeight="1">
      <c r="A224" s="56" t="s">
        <v>867</v>
      </c>
      <c r="B224" s="57" t="s">
        <v>868</v>
      </c>
      <c r="C224" s="57" t="str">
        <f>CONCATENATE(A224,B224)</f>
        <v>224 - Pedido de Cooperação de Instrução da Escola de Comando e Estado-Maior do Exército (ECEME) com GU da 5ª DE,</v>
      </c>
    </row>
    <row r="225" spans="1:3" ht="13.5" customHeight="1">
      <c r="A225" s="56" t="s">
        <v>869</v>
      </c>
      <c r="B225" s="57" t="s">
        <v>870</v>
      </c>
      <c r="C225" s="57" t="str">
        <f>CONCATENATE(A225,B225)</f>
        <v>225 - Perito Auditor do FUSEx,</v>
      </c>
    </row>
    <row r="226" spans="1:3" ht="13.5" customHeight="1">
      <c r="A226" s="56" t="s">
        <v>871</v>
      </c>
      <c r="B226" s="57" t="s">
        <v>872</v>
      </c>
      <c r="C226" s="57" t="str">
        <f>CONCATENATE(A226,B226)</f>
        <v>226 - Realizar a inspeção de Comando da Operação MANOTAÇO na Coudelaria de Rincão/CIR.</v>
      </c>
    </row>
    <row r="227" spans="1:3" ht="13.5" customHeight="1">
      <c r="A227" s="56" t="s">
        <v>873</v>
      </c>
      <c r="B227" s="57" t="s">
        <v>874</v>
      </c>
      <c r="C227" s="57" t="str">
        <f>CONCATENATE(A227,B227)</f>
        <v>227 - Reconhecimento da Operação ATLAS 2025;</v>
      </c>
    </row>
    <row r="228" spans="1:3" ht="13.5" customHeight="1">
      <c r="A228" s="56" t="s">
        <v>875</v>
      </c>
      <c r="B228" s="57" t="s">
        <v>876</v>
      </c>
      <c r="C228" s="57" t="str">
        <f>CONCATENATE(A228,B228)</f>
        <v>228 - Reconhecimento do Exercício Combinado Operação Paraná IV;</v>
      </c>
    </row>
    <row r="229" spans="1:3" ht="13.5" customHeight="1">
      <c r="A229" s="56" t="s">
        <v>877</v>
      </c>
      <c r="B229" s="57" t="s">
        <v>878</v>
      </c>
      <c r="C229" s="57" t="str">
        <f>CONCATENATE(A229,B229)</f>
        <v>229 - Reconhecimento do Exercício de Certificação FORPRON,</v>
      </c>
    </row>
    <row r="230" spans="1:3" ht="13.5" customHeight="1">
      <c r="A230" s="56" t="s">
        <v>879</v>
      </c>
      <c r="B230" s="57" t="s">
        <v>880</v>
      </c>
      <c r="C230" s="57" t="str">
        <f>CONCATENATE(A230,B230)</f>
        <v>230 - Reconhecimento operacional para simulação construtiva e viva - Exercício de Certificação - FORPRON;</v>
      </c>
    </row>
    <row r="231" spans="1:3" ht="13.5" customHeight="1">
      <c r="A231" s="56" t="s">
        <v>881</v>
      </c>
      <c r="B231" s="57" t="s">
        <v>882</v>
      </c>
      <c r="C231" s="57" t="str">
        <f>CONCATENATE(A231,B231)</f>
        <v>231 - Reunião de Comando (G Cmdo/GU/G Cmdo Art).</v>
      </c>
    </row>
    <row r="232" spans="1:3" ht="13.5" customHeight="1">
      <c r="A232" s="56" t="s">
        <v>883</v>
      </c>
      <c r="B232" s="57" t="s">
        <v>884</v>
      </c>
      <c r="C232" s="57" t="str">
        <f>CONCATENATE(A232,B232)</f>
        <v>232 - Reunião de Coordenação dos Oficiais de Operações do Comando Militar do Sul,</v>
      </c>
    </row>
    <row r="233" spans="1:3" ht="13.5" customHeight="1">
      <c r="A233" s="56" t="s">
        <v>885</v>
      </c>
      <c r="B233" s="57" t="s">
        <v>886</v>
      </c>
      <c r="C233" s="57" t="str">
        <f>CONCATENATE(A233,B233)</f>
        <v>233 - Reunião do Sistema de Fiscalização de Produtos Controlados da 5ª RM,</v>
      </c>
    </row>
    <row r="234" spans="1:3" ht="13.5" customHeight="1">
      <c r="A234" s="56" t="s">
        <v>887</v>
      </c>
      <c r="B234" s="57" t="s">
        <v>888</v>
      </c>
      <c r="C234" s="57" t="str">
        <f>CONCATENATE(A234,B234)</f>
        <v>234 - Reunião do Sistema de Inteligência da 5ª DE; - Tiro das Armas Coletivas das GU/GCmdo Art/OMDS;</v>
      </c>
    </row>
    <row r="235" spans="1:3" ht="13.5" customHeight="1">
      <c r="A235" s="56" t="s">
        <v>889</v>
      </c>
      <c r="B235" s="57" t="s">
        <v>890</v>
      </c>
      <c r="C235" s="57" t="str">
        <f>CONCATENATE(A235,B235)</f>
        <v>235 - Reunião dos Adjuntos de Comando,</v>
      </c>
    </row>
    <row r="236" spans="1:3" ht="13.5" customHeight="1">
      <c r="A236" s="56" t="s">
        <v>891</v>
      </c>
      <c r="B236" s="57" t="s">
        <v>892</v>
      </c>
      <c r="C236" s="57" t="str">
        <f>CONCATENATE(A236,B236)</f>
        <v>236 - Reunião setorial de Atualização, Instrução e Orientação de Curso Especializado no SEST/SENAT/SENAIΙ.</v>
      </c>
    </row>
    <row r="237" spans="1:3" ht="13.5" customHeight="1">
      <c r="A237" s="56" t="s">
        <v>893</v>
      </c>
      <c r="B237" s="57" t="s">
        <v>894</v>
      </c>
      <c r="C237" s="57" t="str">
        <f>CONCATENATE(A237,B237)</f>
        <v>237 - Segurança de Autoridades;</v>
      </c>
    </row>
    <row r="238" spans="1:3" ht="13.5" customHeight="1">
      <c r="A238" s="56" t="s">
        <v>895</v>
      </c>
      <c r="B238" s="57" t="s">
        <v>896</v>
      </c>
      <c r="C238" s="57" t="str">
        <f>CONCATENATE(A238,B238)</f>
        <v xml:space="preserve">238 - Seleção Complementar e Volante, Participação em Curso para Condutores de Viaturas de </v>
      </c>
    </row>
    <row r="239" spans="1:3" ht="13.5" customHeight="1">
      <c r="A239" s="56" t="s">
        <v>897</v>
      </c>
      <c r="B239" s="57" t="s">
        <v>898</v>
      </c>
      <c r="C239" s="57" t="str">
        <f>CONCATENATE(A239,B239)</f>
        <v>239 - Semana do Soldado, fora da sede,</v>
      </c>
    </row>
    <row r="240" spans="1:3" ht="13.5" customHeight="1">
      <c r="A240" s="56" t="s">
        <v>899</v>
      </c>
      <c r="B240" s="57" t="s">
        <v>900</v>
      </c>
      <c r="C240" s="57" t="str">
        <f>CONCATENATE(A240,B240)</f>
        <v>240 - Seminário de Apoio Logistico nas FT Bld,</v>
      </c>
    </row>
    <row r="241" spans="1:3" ht="13.5" customHeight="1">
      <c r="A241" s="56" t="s">
        <v>901</v>
      </c>
      <c r="B241" s="57" t="s">
        <v>902</v>
      </c>
      <c r="C241" s="57" t="str">
        <f>CONCATENATE(A241,B241)</f>
        <v>241 - Seminário de Direito Militar,</v>
      </c>
    </row>
    <row r="242" spans="1:3" ht="13.5" customHeight="1">
      <c r="A242" s="56" t="s">
        <v>903</v>
      </c>
      <c r="B242" s="57" t="s">
        <v>904</v>
      </c>
      <c r="C242" s="57" t="str">
        <f>CONCATENATE(A242,B242)</f>
        <v>242 - Simpósio de Aj Humanitária Ap. Def Civil;</v>
      </c>
    </row>
    <row r="243" spans="1:3" ht="13.5" customHeight="1">
      <c r="A243" s="56" t="s">
        <v>905</v>
      </c>
      <c r="B243" s="57" t="s">
        <v>906</v>
      </c>
      <c r="C243" s="57" t="str">
        <f>CONCATENATE(A243,B243)</f>
        <v>243 - Simulador de Apoio de Fogo (SIMAF),</v>
      </c>
    </row>
    <row r="244" spans="1:3" ht="13.9" customHeight="1">
      <c r="A244" s="56" t="s">
        <v>907</v>
      </c>
      <c r="B244" s="57" t="s">
        <v>908</v>
      </c>
      <c r="C244" s="57" t="str">
        <f>CONCATENATE(A244,B244)</f>
        <v>244 - Solenidade Alusiva ao Cerco da Lapa,</v>
      </c>
    </row>
    <row r="245" spans="1:3" ht="13.9" customHeight="1">
      <c r="A245" s="56" t="s">
        <v>909</v>
      </c>
      <c r="B245" s="57" t="s">
        <v>910</v>
      </c>
      <c r="C245" s="57" t="str">
        <f>CONCATENATE(A245,B245)</f>
        <v>245 - Solenidade Cívico Militar,</v>
      </c>
    </row>
    <row r="246" spans="1:3" ht="13.9" customHeight="1">
      <c r="A246" s="56" t="s">
        <v>911</v>
      </c>
      <c r="B246" s="57" t="s">
        <v>912</v>
      </c>
      <c r="C246" s="57" t="str">
        <f>CONCATENATE(A246,B246)</f>
        <v>246 - Solenidade de Celebração de Aniversário de G Cmdo/GU/OM - fora da sede,</v>
      </c>
    </row>
    <row r="247" spans="1:3" ht="13.9" customHeight="1">
      <c r="A247" s="56" t="s">
        <v>913</v>
      </c>
      <c r="B247" s="57" t="s">
        <v>914</v>
      </c>
      <c r="C247" s="57" t="str">
        <f>CONCATENATE(A247,B247)</f>
        <v>247 - Solenidade de Comemoração do dia das Armas/Quadros/Serviços/Patrono das Armas - fora da sede;</v>
      </c>
    </row>
    <row r="248" spans="1:3" ht="13.9" customHeight="1">
      <c r="A248" s="56" t="s">
        <v>915</v>
      </c>
      <c r="B248" s="57" t="s">
        <v>916</v>
      </c>
      <c r="C248" s="57" t="str">
        <f>CONCATENATE(A248,B248)</f>
        <v>248 - Solenidade de Passagem de Comando de G Cmdo/GU/OM - fora da sede:</v>
      </c>
    </row>
    <row r="249" spans="1:3" ht="13.9" customHeight="1">
      <c r="A249" s="56" t="s">
        <v>917</v>
      </c>
      <c r="B249" s="57" t="s">
        <v>918</v>
      </c>
      <c r="C249" s="57" t="str">
        <f>CONCATENATE(A249,B249)</f>
        <v>249 - Solenidade de Passagem de Comando, fora da sede, - Visita institucional ao Comando de Policiamento Ostensivo.</v>
      </c>
    </row>
    <row r="250" spans="1:3" ht="13.9" customHeight="1">
      <c r="A250" s="56" t="s">
        <v>919</v>
      </c>
      <c r="B250" s="57" t="s">
        <v>920</v>
      </c>
      <c r="C250" s="57" t="str">
        <f>CONCATENATE(A250,B250)</f>
        <v>250 - Solenidade Regional Alusiva ao Patrono da Arma de Infantaria (SRAPAI),</v>
      </c>
    </row>
    <row r="251" spans="1:3" ht="13.9" customHeight="1">
      <c r="A251" s="56" t="s">
        <v>921</v>
      </c>
      <c r="B251" s="57" t="s">
        <v>922</v>
      </c>
      <c r="C251" s="57" t="str">
        <f>CONCATENATE(A251,B251)</f>
        <v>251 - Solenidades Alusivas aos dias de Armas/Quadros/Serviços/Patronos de Armas, fora da sede.</v>
      </c>
    </row>
    <row r="252" spans="1:3" ht="13.9" customHeight="1">
      <c r="A252" s="56" t="s">
        <v>923</v>
      </c>
      <c r="B252" s="57" t="s">
        <v>924</v>
      </c>
      <c r="C252" s="57" t="str">
        <f>CONCATENATE(A252,B252)</f>
        <v>252 - Tiro de Morteiro no CIMH, em Três Barras/SC das GU/GCmdo Art/OMDS;</v>
      </c>
    </row>
    <row r="253" spans="1:3" ht="13.9" customHeight="1">
      <c r="A253" s="56" t="s">
        <v>925</v>
      </c>
      <c r="B253" s="57" t="s">
        <v>926</v>
      </c>
      <c r="C253" s="57" t="str">
        <f>CONCATENATE(A253,B253)</f>
        <v>253 - Transporte de material entre as OMDS e seus respectivos OP,</v>
      </c>
    </row>
    <row r="254" spans="1:3" ht="13.9" customHeight="1">
      <c r="A254" s="56" t="s">
        <v>927</v>
      </c>
      <c r="B254" s="57" t="s">
        <v>928</v>
      </c>
      <c r="C254" s="57" t="str">
        <f>CONCATENATE(A254,B254)</f>
        <v>254 - Transporte de Pessoal e Material.</v>
      </c>
    </row>
    <row r="255" spans="1:3" ht="13.9" customHeight="1">
      <c r="A255" s="56" t="s">
        <v>929</v>
      </c>
      <c r="B255" s="57" t="s">
        <v>930</v>
      </c>
      <c r="C255" s="57" t="str">
        <f>CONCATENATE(A255,B255)</f>
        <v>255 - Viagem de apoio veterinário em localidades, fora da sede,</v>
      </c>
    </row>
    <row r="256" spans="1:3" ht="13.9" customHeight="1">
      <c r="A256" s="56" t="s">
        <v>931</v>
      </c>
      <c r="B256" s="57" t="s">
        <v>932</v>
      </c>
      <c r="C256" s="57" t="str">
        <f>CONCATENATE(A256,B256)</f>
        <v>256 - Visita de Comando do Cmdo 5ª DE,</v>
      </c>
    </row>
    <row r="257" spans="1:3" ht="13.9" customHeight="1">
      <c r="A257" s="56" t="s">
        <v>933</v>
      </c>
      <c r="B257" s="57" t="s">
        <v>934</v>
      </c>
      <c r="C257" s="57" t="str">
        <f>CONCATENATE(A257,B257)</f>
        <v>257 - Visita de Comando G Cmdo/GU;</v>
      </c>
    </row>
    <row r="258" spans="1:3" ht="13.9" customHeight="1">
      <c r="A258" s="56" t="s">
        <v>935</v>
      </c>
      <c r="B258" s="57" t="s">
        <v>936</v>
      </c>
      <c r="C258" s="57" t="str">
        <f>CONCATENATE(A258,B258)</f>
        <v>258 - Workshop Gestão da Frota:</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 &amp;Kffffff&amp;A</oddHeader>
    <oddFooter>&amp;C&amp;"Times New Roman,Normal"&amp;12 &amp;KffffffPágina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Modelo Grat Rep 14ª Bda Inf Mtz</dc:title>
  <dc:subject/>
  <dc:creator>Apache POI;4ª Seção</dc:creator>
  <cp:keywords/>
  <dc:description/>
  <cp:lastModifiedBy/>
  <cp:revision>48</cp:revision>
  <dcterms:created xsi:type="dcterms:W3CDTF">2024-12-17T18:06:02Z</dcterms:created>
  <dcterms:modified xsi:type="dcterms:W3CDTF">2025-11-26T17:51:50Z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